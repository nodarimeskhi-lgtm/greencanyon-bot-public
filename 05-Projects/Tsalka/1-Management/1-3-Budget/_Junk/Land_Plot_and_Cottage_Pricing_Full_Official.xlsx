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odar\2026 antigraviti\05-Projects\Tsalka\1-Management\1-3-Budget\"/>
    </mc:Choice>
  </mc:AlternateContent>
  <xr:revisionPtr revIDLastSave="0" documentId="13_ncr:1_{D43DF0DB-5CBC-4110-B5B1-C22AB69C30E9}" xr6:coauthVersionLast="47" xr6:coauthVersionMax="47" xr10:uidLastSave="{00000000-0000-0000-0000-000000000000}"/>
  <bookViews>
    <workbookView xWindow="-108" yWindow="-108" windowWidth="23256" windowHeight="12456" tabRatio="706" xr2:uid="{00000000-000D-0000-FFFF-FFFF00000000}"/>
  </bookViews>
  <sheets>
    <sheet name="კან-პირი" sheetId="1" r:id="rId1"/>
    <sheet name="ტყის ზონა" sheetId="2" r:id="rId2"/>
    <sheet name="ვაკის ზონა" sheetId="3" r:id="rId3"/>
    <sheet name="წყაროს ზონა" sheetId="4" r:id="rId4"/>
  </sheets>
  <definedNames>
    <definedName name="_xlnm._FilterDatabase" localSheetId="0" hidden="1">'კან-პირი'!$J$1:$J$141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3" i="1"/>
</calcChain>
</file>

<file path=xl/sharedStrings.xml><?xml version="1.0" encoding="utf-8"?>
<sst xmlns="http://schemas.openxmlformats.org/spreadsheetml/2006/main" count="304" uniqueCount="189">
  <si>
    <t>ნაკვეთის კოდი</t>
  </si>
  <si>
    <t>კოტეჯის ტიპი</t>
  </si>
  <si>
    <t>კოტეჯის ფასი ($)</t>
  </si>
  <si>
    <t>ჯამი (Turnkey) ($)</t>
  </si>
  <si>
    <t>LA-1</t>
  </si>
  <si>
    <t>Comfort Chalet</t>
  </si>
  <si>
    <t>LA-2</t>
  </si>
  <si>
    <t>LA-3</t>
  </si>
  <si>
    <t>LA-4</t>
  </si>
  <si>
    <t>Alpine Studio</t>
  </si>
  <si>
    <t>LA-5</t>
  </si>
  <si>
    <t>LA-6</t>
  </si>
  <si>
    <t>Eco Cottage</t>
  </si>
  <si>
    <t>LA-7</t>
  </si>
  <si>
    <t>LA-8</t>
  </si>
  <si>
    <t>LA-9</t>
  </si>
  <si>
    <t>LA-10</t>
  </si>
  <si>
    <t>LA-11</t>
  </si>
  <si>
    <t>LA-12</t>
  </si>
  <si>
    <t>LA-13</t>
  </si>
  <si>
    <t>LUX Grand Villa</t>
  </si>
  <si>
    <t>LA-14</t>
  </si>
  <si>
    <t>LA-15</t>
  </si>
  <si>
    <t>LA-16</t>
  </si>
  <si>
    <t>LA-17</t>
  </si>
  <si>
    <t>LA-18</t>
  </si>
  <si>
    <t>LA-19</t>
  </si>
  <si>
    <t>Alpine 1 Bed</t>
  </si>
  <si>
    <t>LA-20</t>
  </si>
  <si>
    <t>LA-21</t>
  </si>
  <si>
    <t>LA-22</t>
  </si>
  <si>
    <t>LA-23</t>
  </si>
  <si>
    <t>LA-24</t>
  </si>
  <si>
    <t>LA-25</t>
  </si>
  <si>
    <t>LA-26</t>
  </si>
  <si>
    <t>LA-27</t>
  </si>
  <si>
    <t>LA-28</t>
  </si>
  <si>
    <t>LA-29</t>
  </si>
  <si>
    <t>LA-30</t>
  </si>
  <si>
    <t>LA-31</t>
  </si>
  <si>
    <t>LA-32</t>
  </si>
  <si>
    <t>LA-33</t>
  </si>
  <si>
    <t>LA-34</t>
  </si>
  <si>
    <t>LA-35</t>
  </si>
  <si>
    <t>LA-36</t>
  </si>
  <si>
    <t>LA-37</t>
  </si>
  <si>
    <t>LA-38</t>
  </si>
  <si>
    <t>LA-39</t>
  </si>
  <si>
    <t>LA-40</t>
  </si>
  <si>
    <t>LA-41</t>
  </si>
  <si>
    <t>LA-42</t>
  </si>
  <si>
    <t>LA-43</t>
  </si>
  <si>
    <t>LA-44</t>
  </si>
  <si>
    <t>LA-45</t>
  </si>
  <si>
    <t>LA-46</t>
  </si>
  <si>
    <t>LA-47</t>
  </si>
  <si>
    <t>LA-48</t>
  </si>
  <si>
    <t>LA-49</t>
  </si>
  <si>
    <t>LA-50</t>
  </si>
  <si>
    <t>LA-51</t>
  </si>
  <si>
    <t>LA-52</t>
  </si>
  <si>
    <t>LA-53</t>
  </si>
  <si>
    <t>LA-54</t>
  </si>
  <si>
    <t>LA-55</t>
  </si>
  <si>
    <t>LA-56</t>
  </si>
  <si>
    <t>LA-57</t>
  </si>
  <si>
    <t>LA-58</t>
  </si>
  <si>
    <t>LA-59</t>
  </si>
  <si>
    <t>LA-60</t>
  </si>
  <si>
    <t>LA-61</t>
  </si>
  <si>
    <t>LA-62</t>
  </si>
  <si>
    <t>LA-63</t>
  </si>
  <si>
    <t>LA-64</t>
  </si>
  <si>
    <t>LA-65</t>
  </si>
  <si>
    <t>LA-66</t>
  </si>
  <si>
    <t>LA-67</t>
  </si>
  <si>
    <t>LA-68</t>
  </si>
  <si>
    <t>LA-69</t>
  </si>
  <si>
    <t>LA-70</t>
  </si>
  <si>
    <t>LA-71</t>
  </si>
  <si>
    <t>LA-72</t>
  </si>
  <si>
    <t>LA-73</t>
  </si>
  <si>
    <t>LA-74</t>
  </si>
  <si>
    <t>LA-75</t>
  </si>
  <si>
    <t>LA-76</t>
  </si>
  <si>
    <t>LA-77</t>
  </si>
  <si>
    <t>LA-78</t>
  </si>
  <si>
    <t>LA-79</t>
  </si>
  <si>
    <t>LA-80</t>
  </si>
  <si>
    <t>LA-81</t>
  </si>
  <si>
    <t>LA-82</t>
  </si>
  <si>
    <t>LA-83</t>
  </si>
  <si>
    <t>LA-84</t>
  </si>
  <si>
    <t>LA-85</t>
  </si>
  <si>
    <t>LA-86</t>
  </si>
  <si>
    <t>LA-87</t>
  </si>
  <si>
    <t>LA-88</t>
  </si>
  <si>
    <t>LA-91</t>
  </si>
  <si>
    <t>LA-93</t>
  </si>
  <si>
    <t>LA-95</t>
  </si>
  <si>
    <t>LA-97</t>
  </si>
  <si>
    <t>LB-1</t>
  </si>
  <si>
    <t>LB-2</t>
  </si>
  <si>
    <t>LB-3</t>
  </si>
  <si>
    <t>LB-4</t>
  </si>
  <si>
    <t>LB-5</t>
  </si>
  <si>
    <t>LB-6</t>
  </si>
  <si>
    <t>LB-7</t>
  </si>
  <si>
    <t>LB-8</t>
  </si>
  <si>
    <t>LB-9</t>
  </si>
  <si>
    <t>LB-10</t>
  </si>
  <si>
    <t>LB-11</t>
  </si>
  <si>
    <t>LB-12</t>
  </si>
  <si>
    <t>LB-13</t>
  </si>
  <si>
    <t>LB-14</t>
  </si>
  <si>
    <t>LB-15</t>
  </si>
  <si>
    <t>LB-16</t>
  </si>
  <si>
    <t>LB-17</t>
  </si>
  <si>
    <t>LB-19</t>
  </si>
  <si>
    <t>LB-21</t>
  </si>
  <si>
    <t>LB-23</t>
  </si>
  <si>
    <t>LB-25</t>
  </si>
  <si>
    <t>LC-1</t>
  </si>
  <si>
    <t>LC-2</t>
  </si>
  <si>
    <t>LC-3</t>
  </si>
  <si>
    <t>LC-4</t>
  </si>
  <si>
    <t>LC-5</t>
  </si>
  <si>
    <t>LC-6</t>
  </si>
  <si>
    <t>LC-7</t>
  </si>
  <si>
    <t>LC-8</t>
  </si>
  <si>
    <t>LC-9</t>
  </si>
  <si>
    <t>LC-10</t>
  </si>
  <si>
    <t>LC-11</t>
  </si>
  <si>
    <t>LC-12</t>
  </si>
  <si>
    <t>LC-13</t>
  </si>
  <si>
    <t>LC-14</t>
  </si>
  <si>
    <t>LC-15</t>
  </si>
  <si>
    <t>LC-16</t>
  </si>
  <si>
    <t>LC-17</t>
  </si>
  <si>
    <t>LC-18</t>
  </si>
  <si>
    <t>LC-19</t>
  </si>
  <si>
    <t>LC-20</t>
  </si>
  <si>
    <t>LC-21</t>
  </si>
  <si>
    <t>LC-22</t>
  </si>
  <si>
    <t>LC-23</t>
  </si>
  <si>
    <t>LC-24</t>
  </si>
  <si>
    <t>LC-25</t>
  </si>
  <si>
    <t>LC-26</t>
  </si>
  <si>
    <t>LC-27</t>
  </si>
  <si>
    <t>LC-28</t>
  </si>
  <si>
    <t>LC-29</t>
  </si>
  <si>
    <t>LC-30</t>
  </si>
  <si>
    <t>LC-31</t>
  </si>
  <si>
    <t>LC-32</t>
  </si>
  <si>
    <t>LC-33</t>
  </si>
  <si>
    <t>LC-35</t>
  </si>
  <si>
    <t>LC-37</t>
  </si>
  <si>
    <t>LC-39</t>
  </si>
  <si>
    <t>LC-41</t>
  </si>
  <si>
    <t>LC-43</t>
  </si>
  <si>
    <t>LC-45</t>
  </si>
  <si>
    <t>LC-47</t>
  </si>
  <si>
    <t>LC-49</t>
  </si>
  <si>
    <t>LC-51</t>
  </si>
  <si>
    <t>LC-53</t>
  </si>
  <si>
    <t>LC-55</t>
  </si>
  <si>
    <t>LC-57</t>
  </si>
  <si>
    <t>LC-59</t>
  </si>
  <si>
    <t>LC-61</t>
  </si>
  <si>
    <t>LC-63</t>
  </si>
  <si>
    <t>LC-65</t>
  </si>
  <si>
    <t>LD-1</t>
  </si>
  <si>
    <t>LD-2</t>
  </si>
  <si>
    <t>LD-3</t>
  </si>
  <si>
    <t>LD-4</t>
  </si>
  <si>
    <t>LD-6</t>
  </si>
  <si>
    <t>LD-8</t>
  </si>
  <si>
    <t>LD-10</t>
  </si>
  <si>
    <t>LD-12</t>
  </si>
  <si>
    <t>LD-14</t>
  </si>
  <si>
    <t>პირველი ზოლი</t>
  </si>
  <si>
    <t>მეორე ზოლი</t>
  </si>
  <si>
    <t>მესამე ზოლი</t>
  </si>
  <si>
    <t>მეოთხე ზოლი</t>
  </si>
  <si>
    <t>კოტ ფართიმ2</t>
  </si>
  <si>
    <t>Eco Cabin</t>
  </si>
  <si>
    <t>Duplex Chalet</t>
  </si>
  <si>
    <t>მიწის ფასი მ2</t>
  </si>
  <si>
    <t>მიწის ღირებულება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</si>
</sst>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0" fillId="6" borderId="0" xfId="0" applyFill="1"/>
    <xf numFmtId="0" fontId="0" fillId="7" borderId="0" xfId="0" applyFill="1" applyAlignment="1">
      <alignment horizontal="center" vertical="top"/>
    </xf>
    <xf numFmtId="0" fontId="0" fillId="8" borderId="0" xfId="0" applyFill="1" applyAlignment="1">
      <alignment horizontal="center" vertical="top"/>
    </xf>
    <xf numFmtId="0" fontId="0" fillId="9" borderId="0" xfId="0" applyFill="1" applyAlignment="1">
      <alignment horizontal="center" vertical="top"/>
    </xf>
    <xf numFmtId="168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top"/>
    </xf>
    <xf numFmtId="0" fontId="0" fillId="10" borderId="0" xfId="0" applyFill="1" applyAlignment="1">
      <alignment horizontal="center" vertical="top"/>
    </xf>
    <xf numFmtId="0" fontId="0" fillId="0" borderId="1" xfId="0" applyBorder="1"/>
    <xf numFmtId="0" fontId="0" fillId="10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O158"/>
  <sheetViews>
    <sheetView tabSelected="1" zoomScale="110" zoomScaleNormal="110" workbookViewId="0">
      <selection activeCell="F62" sqref="F62"/>
    </sheetView>
  </sheetViews>
  <sheetFormatPr defaultRowHeight="14.4" x14ac:dyDescent="0.3"/>
  <cols>
    <col min="1" max="1" width="16" customWidth="1"/>
    <col min="2" max="4" width="16.88671875" style="2" customWidth="1"/>
    <col min="5" max="5" width="14.77734375" style="2" customWidth="1"/>
    <col min="6" max="6" width="21.109375" style="2" customWidth="1"/>
    <col min="7" max="7" width="15" style="2" customWidth="1"/>
    <col min="8" max="8" width="16.77734375" style="2" customWidth="1"/>
    <col min="9" max="9" width="20.5546875" style="2" customWidth="1"/>
    <col min="10" max="10" width="21.21875" style="2" customWidth="1"/>
    <col min="11" max="12" width="17" style="2" customWidth="1"/>
    <col min="13" max="13" width="18" style="12" customWidth="1"/>
    <col min="14" max="14" width="20" style="2" customWidth="1"/>
    <col min="15" max="15" width="16" style="2" customWidth="1"/>
  </cols>
  <sheetData>
    <row r="1" spans="2:14" x14ac:dyDescent="0.3">
      <c r="B1" s="2" t="s">
        <v>0</v>
      </c>
      <c r="D1" s="2" t="s">
        <v>1</v>
      </c>
      <c r="E1" s="2" t="s">
        <v>187</v>
      </c>
      <c r="F1" s="2" t="s">
        <v>188</v>
      </c>
      <c r="G1" s="2" t="s">
        <v>184</v>
      </c>
      <c r="H1" s="12" t="s">
        <v>2</v>
      </c>
      <c r="I1" s="2" t="s">
        <v>3</v>
      </c>
    </row>
    <row r="2" spans="2:14" x14ac:dyDescent="0.3">
      <c r="B2" s="2" t="s">
        <v>180</v>
      </c>
    </row>
    <row r="3" spans="2:14" x14ac:dyDescent="0.3">
      <c r="B3" s="4" t="s">
        <v>4</v>
      </c>
      <c r="C3" s="2">
        <v>702.4</v>
      </c>
      <c r="D3" s="2" t="s">
        <v>20</v>
      </c>
      <c r="E3" s="2">
        <v>100</v>
      </c>
      <c r="H3" s="2">
        <v>100</v>
      </c>
      <c r="I3" s="2">
        <f>H3*G3</f>
        <v>0</v>
      </c>
      <c r="N3" s="13"/>
    </row>
    <row r="4" spans="2:14" x14ac:dyDescent="0.3">
      <c r="B4" s="4" t="s">
        <v>7</v>
      </c>
      <c r="C4" s="2">
        <v>683.2</v>
      </c>
      <c r="D4" s="2" t="s">
        <v>20</v>
      </c>
      <c r="E4" s="2">
        <v>100</v>
      </c>
      <c r="H4" s="2">
        <v>100</v>
      </c>
      <c r="I4" s="2">
        <f t="shared" ref="I4:I45" si="0">H4*G4</f>
        <v>0</v>
      </c>
      <c r="N4" s="13"/>
    </row>
    <row r="5" spans="2:14" x14ac:dyDescent="0.3">
      <c r="B5" s="4" t="s">
        <v>10</v>
      </c>
      <c r="C5" s="2">
        <v>635.79999999999995</v>
      </c>
      <c r="D5" s="2" t="s">
        <v>20</v>
      </c>
      <c r="E5" s="2">
        <v>100</v>
      </c>
      <c r="H5" s="2">
        <v>100</v>
      </c>
      <c r="I5" s="2">
        <f t="shared" si="0"/>
        <v>0</v>
      </c>
      <c r="N5" s="13"/>
    </row>
    <row r="6" spans="2:14" x14ac:dyDescent="0.3">
      <c r="B6" s="4"/>
      <c r="C6" s="4"/>
      <c r="D6" s="14"/>
      <c r="H6" s="2">
        <v>100</v>
      </c>
      <c r="I6" s="2">
        <f t="shared" si="0"/>
        <v>0</v>
      </c>
      <c r="N6" s="13"/>
    </row>
    <row r="7" spans="2:14" x14ac:dyDescent="0.3">
      <c r="B7" s="4" t="s">
        <v>13</v>
      </c>
      <c r="C7" s="2">
        <v>542.79999999999995</v>
      </c>
      <c r="D7" s="2" t="s">
        <v>5</v>
      </c>
      <c r="E7" s="2">
        <v>100</v>
      </c>
      <c r="H7" s="2">
        <v>100</v>
      </c>
      <c r="I7" s="2">
        <f t="shared" si="0"/>
        <v>0</v>
      </c>
      <c r="N7" s="13"/>
    </row>
    <row r="8" spans="2:14" x14ac:dyDescent="0.3">
      <c r="B8" s="4" t="s">
        <v>15</v>
      </c>
      <c r="C8" s="2">
        <v>561.5</v>
      </c>
      <c r="D8" s="2" t="s">
        <v>5</v>
      </c>
      <c r="E8" s="2">
        <v>100</v>
      </c>
      <c r="H8" s="2">
        <v>100</v>
      </c>
      <c r="I8" s="2">
        <f t="shared" si="0"/>
        <v>0</v>
      </c>
      <c r="N8" s="13"/>
    </row>
    <row r="9" spans="2:14" x14ac:dyDescent="0.3">
      <c r="B9" s="4"/>
      <c r="C9" s="4"/>
      <c r="D9" s="14"/>
      <c r="H9" s="2">
        <v>100</v>
      </c>
      <c r="I9" s="2">
        <f t="shared" si="0"/>
        <v>0</v>
      </c>
      <c r="N9" s="13"/>
    </row>
    <row r="10" spans="2:14" x14ac:dyDescent="0.3">
      <c r="B10" s="4" t="s">
        <v>17</v>
      </c>
      <c r="C10" s="2">
        <v>740.3</v>
      </c>
      <c r="D10" s="2" t="s">
        <v>20</v>
      </c>
      <c r="E10" s="2">
        <v>100</v>
      </c>
      <c r="H10" s="2">
        <v>100</v>
      </c>
      <c r="I10" s="2">
        <f t="shared" si="0"/>
        <v>0</v>
      </c>
      <c r="N10" s="13"/>
    </row>
    <row r="11" spans="2:14" x14ac:dyDescent="0.3">
      <c r="B11" s="4" t="s">
        <v>19</v>
      </c>
      <c r="C11" s="2">
        <v>953.6</v>
      </c>
      <c r="D11" s="2" t="s">
        <v>20</v>
      </c>
      <c r="E11" s="2">
        <v>100</v>
      </c>
      <c r="H11" s="2">
        <v>100</v>
      </c>
      <c r="I11" s="2">
        <f t="shared" si="0"/>
        <v>0</v>
      </c>
      <c r="N11" s="13"/>
    </row>
    <row r="12" spans="2:14" x14ac:dyDescent="0.3">
      <c r="B12" s="4" t="s">
        <v>22</v>
      </c>
      <c r="C12" s="2">
        <v>1084.0999999999999</v>
      </c>
      <c r="D12" s="2" t="s">
        <v>20</v>
      </c>
      <c r="E12" s="2">
        <v>100</v>
      </c>
      <c r="H12" s="2">
        <v>100</v>
      </c>
      <c r="I12" s="2">
        <f t="shared" si="0"/>
        <v>0</v>
      </c>
      <c r="N12" s="13"/>
    </row>
    <row r="13" spans="2:14" x14ac:dyDescent="0.3">
      <c r="B13" s="4"/>
      <c r="C13" s="4"/>
      <c r="D13" s="14"/>
      <c r="H13" s="2">
        <v>100</v>
      </c>
      <c r="I13" s="2">
        <f t="shared" si="0"/>
        <v>0</v>
      </c>
      <c r="N13" s="13"/>
    </row>
    <row r="14" spans="2:14" x14ac:dyDescent="0.3">
      <c r="B14" s="4" t="s">
        <v>24</v>
      </c>
      <c r="C14" s="2">
        <v>503.7</v>
      </c>
      <c r="D14" s="2" t="s">
        <v>5</v>
      </c>
      <c r="E14" s="2">
        <v>100</v>
      </c>
      <c r="H14" s="2">
        <v>100</v>
      </c>
      <c r="I14" s="2">
        <f t="shared" si="0"/>
        <v>0</v>
      </c>
      <c r="N14" s="13"/>
    </row>
    <row r="15" spans="2:14" x14ac:dyDescent="0.3">
      <c r="B15" s="4" t="s">
        <v>26</v>
      </c>
      <c r="C15" s="2">
        <v>413.4</v>
      </c>
      <c r="D15" s="2" t="s">
        <v>5</v>
      </c>
      <c r="E15" s="2">
        <v>100</v>
      </c>
      <c r="H15" s="2">
        <v>100</v>
      </c>
      <c r="I15" s="2">
        <f t="shared" si="0"/>
        <v>0</v>
      </c>
      <c r="N15" s="13"/>
    </row>
    <row r="16" spans="2:14" x14ac:dyDescent="0.3">
      <c r="B16" s="4"/>
      <c r="C16" s="4"/>
      <c r="D16" s="14"/>
      <c r="H16" s="2">
        <v>100</v>
      </c>
      <c r="I16" s="2">
        <f t="shared" si="0"/>
        <v>0</v>
      </c>
      <c r="N16" s="13"/>
    </row>
    <row r="17" spans="2:14" x14ac:dyDescent="0.3">
      <c r="B17" s="4" t="s">
        <v>29</v>
      </c>
      <c r="C17" s="2">
        <v>393</v>
      </c>
      <c r="D17" s="14"/>
      <c r="H17" s="2">
        <v>100</v>
      </c>
      <c r="I17" s="2">
        <f t="shared" si="0"/>
        <v>0</v>
      </c>
      <c r="N17" s="13"/>
    </row>
    <row r="18" spans="2:14" x14ac:dyDescent="0.3">
      <c r="B18" s="4"/>
      <c r="C18" s="4"/>
      <c r="D18" s="14"/>
      <c r="H18" s="2">
        <v>100</v>
      </c>
      <c r="I18" s="2">
        <f t="shared" si="0"/>
        <v>0</v>
      </c>
      <c r="N18" s="13"/>
    </row>
    <row r="19" spans="2:14" x14ac:dyDescent="0.3">
      <c r="B19" s="4" t="s">
        <v>31</v>
      </c>
      <c r="C19" s="2">
        <v>404.7</v>
      </c>
      <c r="D19" s="2" t="s">
        <v>5</v>
      </c>
      <c r="E19" s="2">
        <v>100</v>
      </c>
      <c r="H19" s="2">
        <v>100</v>
      </c>
      <c r="I19" s="2">
        <f t="shared" si="0"/>
        <v>0</v>
      </c>
      <c r="N19" s="13"/>
    </row>
    <row r="20" spans="2:14" x14ac:dyDescent="0.3">
      <c r="B20" s="4" t="s">
        <v>33</v>
      </c>
      <c r="C20" s="2">
        <v>485.3</v>
      </c>
      <c r="D20" s="2" t="s">
        <v>5</v>
      </c>
      <c r="E20" s="2">
        <v>100</v>
      </c>
      <c r="H20" s="2">
        <v>100</v>
      </c>
      <c r="I20" s="2">
        <f t="shared" si="0"/>
        <v>0</v>
      </c>
      <c r="N20" s="13"/>
    </row>
    <row r="21" spans="2:14" x14ac:dyDescent="0.3">
      <c r="B21" s="4" t="s">
        <v>35</v>
      </c>
      <c r="C21" s="2">
        <v>479.7</v>
      </c>
      <c r="D21" s="2" t="s">
        <v>5</v>
      </c>
      <c r="E21" s="2">
        <v>100</v>
      </c>
      <c r="H21" s="2">
        <v>100</v>
      </c>
      <c r="I21" s="2">
        <f t="shared" si="0"/>
        <v>0</v>
      </c>
      <c r="N21" s="13"/>
    </row>
    <row r="22" spans="2:14" x14ac:dyDescent="0.3">
      <c r="B22" s="4"/>
      <c r="C22" s="4"/>
      <c r="D22" s="14"/>
      <c r="H22" s="2">
        <v>100</v>
      </c>
      <c r="I22" s="2">
        <f t="shared" si="0"/>
        <v>0</v>
      </c>
      <c r="N22" s="13"/>
    </row>
    <row r="23" spans="2:14" x14ac:dyDescent="0.3">
      <c r="B23" s="4" t="s">
        <v>37</v>
      </c>
      <c r="C23" s="2">
        <v>652.9</v>
      </c>
      <c r="D23" s="2" t="s">
        <v>186</v>
      </c>
      <c r="E23" s="2">
        <v>100</v>
      </c>
      <c r="H23" s="2">
        <v>100</v>
      </c>
      <c r="I23" s="2">
        <f t="shared" si="0"/>
        <v>0</v>
      </c>
      <c r="N23" s="13"/>
    </row>
    <row r="24" spans="2:14" x14ac:dyDescent="0.3">
      <c r="B24" s="4"/>
      <c r="C24" s="4"/>
      <c r="D24" s="14"/>
      <c r="H24" s="2">
        <v>100</v>
      </c>
      <c r="I24" s="2">
        <f t="shared" si="0"/>
        <v>0</v>
      </c>
      <c r="N24" s="13"/>
    </row>
    <row r="25" spans="2:14" x14ac:dyDescent="0.3">
      <c r="B25" s="4" t="s">
        <v>39</v>
      </c>
      <c r="C25" s="2">
        <v>513.9</v>
      </c>
      <c r="D25" s="2" t="s">
        <v>5</v>
      </c>
      <c r="E25" s="2">
        <v>100</v>
      </c>
      <c r="H25" s="2">
        <v>100</v>
      </c>
      <c r="I25" s="2">
        <f t="shared" si="0"/>
        <v>0</v>
      </c>
      <c r="N25" s="13"/>
    </row>
    <row r="26" spans="2:14" x14ac:dyDescent="0.3">
      <c r="B26" s="4" t="s">
        <v>41</v>
      </c>
      <c r="C26" s="2">
        <v>451.8</v>
      </c>
      <c r="D26" s="2" t="s">
        <v>5</v>
      </c>
      <c r="E26" s="2">
        <v>100</v>
      </c>
      <c r="H26" s="2">
        <v>100</v>
      </c>
      <c r="I26" s="2">
        <f t="shared" si="0"/>
        <v>0</v>
      </c>
      <c r="N26" s="13"/>
    </row>
    <row r="27" spans="2:14" x14ac:dyDescent="0.3">
      <c r="B27" s="4" t="s">
        <v>43</v>
      </c>
      <c r="C27" s="2">
        <v>509</v>
      </c>
      <c r="D27" s="2" t="s">
        <v>5</v>
      </c>
      <c r="E27" s="2">
        <v>100</v>
      </c>
      <c r="H27" s="2">
        <v>100</v>
      </c>
      <c r="I27" s="2">
        <f t="shared" si="0"/>
        <v>0</v>
      </c>
      <c r="N27" s="13"/>
    </row>
    <row r="28" spans="2:14" x14ac:dyDescent="0.3">
      <c r="B28" s="4" t="s">
        <v>45</v>
      </c>
      <c r="C28" s="2">
        <v>464.4</v>
      </c>
      <c r="D28" s="2" t="s">
        <v>5</v>
      </c>
      <c r="E28" s="2">
        <v>100</v>
      </c>
      <c r="H28" s="2">
        <v>100</v>
      </c>
      <c r="I28" s="2">
        <f t="shared" si="0"/>
        <v>0</v>
      </c>
      <c r="N28" s="13"/>
    </row>
    <row r="29" spans="2:14" x14ac:dyDescent="0.3">
      <c r="B29" s="4" t="s">
        <v>47</v>
      </c>
      <c r="C29" s="2">
        <v>425.4</v>
      </c>
      <c r="D29" s="2" t="s">
        <v>5</v>
      </c>
      <c r="E29" s="2">
        <v>100</v>
      </c>
      <c r="H29" s="2">
        <v>100</v>
      </c>
      <c r="I29" s="2">
        <f t="shared" si="0"/>
        <v>0</v>
      </c>
      <c r="N29" s="13"/>
    </row>
    <row r="30" spans="2:14" x14ac:dyDescent="0.3">
      <c r="B30" s="4" t="s">
        <v>49</v>
      </c>
      <c r="C30" s="2">
        <v>309</v>
      </c>
      <c r="D30" s="2" t="s">
        <v>5</v>
      </c>
      <c r="E30" s="2">
        <v>100</v>
      </c>
      <c r="H30" s="2">
        <v>100</v>
      </c>
      <c r="I30" s="2">
        <f t="shared" si="0"/>
        <v>0</v>
      </c>
      <c r="N30" s="13"/>
    </row>
    <row r="31" spans="2:14" x14ac:dyDescent="0.3">
      <c r="B31" s="4" t="s">
        <v>51</v>
      </c>
      <c r="C31" s="2">
        <v>470.5</v>
      </c>
      <c r="D31" s="2" t="s">
        <v>5</v>
      </c>
      <c r="E31" s="2">
        <v>100</v>
      </c>
      <c r="H31" s="2">
        <v>100</v>
      </c>
      <c r="I31" s="2">
        <f t="shared" si="0"/>
        <v>0</v>
      </c>
      <c r="N31" s="13"/>
    </row>
    <row r="32" spans="2:14" x14ac:dyDescent="0.3">
      <c r="B32" s="4"/>
      <c r="C32" s="4"/>
      <c r="D32" s="14"/>
      <c r="H32" s="2">
        <v>100</v>
      </c>
      <c r="I32" s="2">
        <f t="shared" si="0"/>
        <v>0</v>
      </c>
      <c r="N32" s="13"/>
    </row>
    <row r="33" spans="2:14" x14ac:dyDescent="0.3">
      <c r="B33" s="4" t="s">
        <v>53</v>
      </c>
      <c r="C33" s="2">
        <v>628.6</v>
      </c>
      <c r="D33" s="2" t="s">
        <v>186</v>
      </c>
      <c r="E33" s="2">
        <v>100</v>
      </c>
      <c r="H33" s="2">
        <v>100</v>
      </c>
      <c r="I33" s="2">
        <f t="shared" si="0"/>
        <v>0</v>
      </c>
      <c r="N33" s="13"/>
    </row>
    <row r="34" spans="2:14" x14ac:dyDescent="0.3">
      <c r="B34" s="4" t="s">
        <v>55</v>
      </c>
      <c r="C34" s="2">
        <v>652.1</v>
      </c>
      <c r="D34" s="2" t="s">
        <v>186</v>
      </c>
      <c r="E34" s="2">
        <v>100</v>
      </c>
      <c r="H34" s="2">
        <v>100</v>
      </c>
      <c r="I34" s="2">
        <f t="shared" si="0"/>
        <v>0</v>
      </c>
      <c r="N34" s="13"/>
    </row>
    <row r="35" spans="2:14" x14ac:dyDescent="0.3">
      <c r="B35" s="4" t="s">
        <v>57</v>
      </c>
      <c r="C35" s="2">
        <v>584.20000000000005</v>
      </c>
      <c r="D35" s="2" t="s">
        <v>186</v>
      </c>
      <c r="E35" s="2">
        <v>100</v>
      </c>
      <c r="H35" s="2">
        <v>100</v>
      </c>
      <c r="I35" s="2">
        <f t="shared" si="0"/>
        <v>0</v>
      </c>
      <c r="N35" s="13"/>
    </row>
    <row r="36" spans="2:14" x14ac:dyDescent="0.3">
      <c r="B36" s="4"/>
      <c r="C36" s="4"/>
      <c r="D36" s="14"/>
      <c r="H36" s="2">
        <v>100</v>
      </c>
      <c r="I36" s="2">
        <f t="shared" si="0"/>
        <v>0</v>
      </c>
      <c r="N36" s="13"/>
    </row>
    <row r="37" spans="2:14" x14ac:dyDescent="0.3">
      <c r="B37" s="4" t="s">
        <v>59</v>
      </c>
      <c r="C37" s="2">
        <v>443.3</v>
      </c>
      <c r="D37" s="2" t="s">
        <v>5</v>
      </c>
      <c r="E37" s="2">
        <v>100</v>
      </c>
      <c r="H37" s="2">
        <v>100</v>
      </c>
      <c r="I37" s="2">
        <f t="shared" si="0"/>
        <v>0</v>
      </c>
      <c r="N37" s="13"/>
    </row>
    <row r="38" spans="2:14" x14ac:dyDescent="0.3">
      <c r="B38" s="4"/>
      <c r="C38" s="4"/>
      <c r="D38" s="14"/>
      <c r="H38" s="2">
        <v>100</v>
      </c>
      <c r="I38" s="2">
        <f t="shared" si="0"/>
        <v>0</v>
      </c>
      <c r="N38" s="13"/>
    </row>
    <row r="39" spans="2:14" x14ac:dyDescent="0.3">
      <c r="B39" s="4" t="s">
        <v>61</v>
      </c>
      <c r="C39" s="2">
        <v>348.6</v>
      </c>
      <c r="D39" s="2" t="s">
        <v>185</v>
      </c>
      <c r="E39" s="2">
        <v>100</v>
      </c>
      <c r="H39" s="2">
        <v>100</v>
      </c>
      <c r="I39" s="2">
        <f t="shared" si="0"/>
        <v>0</v>
      </c>
      <c r="N39" s="13"/>
    </row>
    <row r="40" spans="2:14" x14ac:dyDescent="0.3">
      <c r="B40" s="4" t="s">
        <v>63</v>
      </c>
      <c r="C40" s="2">
        <v>298</v>
      </c>
      <c r="D40" s="2" t="s">
        <v>185</v>
      </c>
      <c r="E40" s="2">
        <v>100</v>
      </c>
      <c r="H40" s="2">
        <v>100</v>
      </c>
      <c r="I40" s="2">
        <f t="shared" si="0"/>
        <v>0</v>
      </c>
      <c r="N40" s="13"/>
    </row>
    <row r="41" spans="2:14" x14ac:dyDescent="0.3">
      <c r="B41" s="4" t="s">
        <v>65</v>
      </c>
      <c r="C41" s="2">
        <v>366</v>
      </c>
      <c r="D41" s="2" t="s">
        <v>185</v>
      </c>
      <c r="E41" s="2">
        <v>100</v>
      </c>
      <c r="H41" s="2">
        <v>100</v>
      </c>
      <c r="I41" s="2">
        <f t="shared" si="0"/>
        <v>0</v>
      </c>
      <c r="N41" s="13"/>
    </row>
    <row r="42" spans="2:14" x14ac:dyDescent="0.3">
      <c r="B42" s="4" t="s">
        <v>67</v>
      </c>
      <c r="C42" s="2">
        <v>369.6</v>
      </c>
      <c r="D42" s="2" t="s">
        <v>185</v>
      </c>
      <c r="E42" s="2">
        <v>100</v>
      </c>
      <c r="H42" s="2">
        <v>100</v>
      </c>
      <c r="I42" s="2">
        <f t="shared" si="0"/>
        <v>0</v>
      </c>
      <c r="N42" s="13"/>
    </row>
    <row r="43" spans="2:14" x14ac:dyDescent="0.3">
      <c r="B43" s="4" t="s">
        <v>69</v>
      </c>
      <c r="C43" s="2">
        <v>385.3</v>
      </c>
      <c r="D43" s="2" t="s">
        <v>185</v>
      </c>
      <c r="E43" s="2">
        <v>100</v>
      </c>
      <c r="H43" s="2">
        <v>100</v>
      </c>
      <c r="I43" s="2">
        <f t="shared" si="0"/>
        <v>0</v>
      </c>
      <c r="N43" s="13"/>
    </row>
    <row r="44" spans="2:14" x14ac:dyDescent="0.3">
      <c r="B44" s="4" t="s">
        <v>71</v>
      </c>
      <c r="C44" s="2">
        <v>381.8</v>
      </c>
      <c r="D44" s="2" t="s">
        <v>185</v>
      </c>
      <c r="E44" s="2">
        <v>100</v>
      </c>
      <c r="H44" s="2">
        <v>100</v>
      </c>
      <c r="I44" s="2">
        <f t="shared" si="0"/>
        <v>0</v>
      </c>
      <c r="N44" s="13"/>
    </row>
    <row r="45" spans="2:14" x14ac:dyDescent="0.3">
      <c r="B45" s="4" t="s">
        <v>73</v>
      </c>
      <c r="C45" s="2">
        <v>336.7</v>
      </c>
      <c r="D45" s="2" t="s">
        <v>185</v>
      </c>
      <c r="E45" s="2">
        <v>100</v>
      </c>
      <c r="H45" s="2">
        <v>100</v>
      </c>
      <c r="I45" s="2">
        <f t="shared" si="0"/>
        <v>0</v>
      </c>
      <c r="N45" s="13"/>
    </row>
    <row r="46" spans="2:14" x14ac:dyDescent="0.3">
      <c r="B46" s="4" t="s">
        <v>75</v>
      </c>
      <c r="C46" s="2">
        <v>360.1</v>
      </c>
      <c r="D46" s="2" t="s">
        <v>185</v>
      </c>
      <c r="E46" s="2">
        <v>100</v>
      </c>
      <c r="H46" s="2">
        <v>100</v>
      </c>
      <c r="I46" s="2">
        <f t="shared" ref="I46:I57" si="1">H46*G46</f>
        <v>0</v>
      </c>
      <c r="N46" s="13"/>
    </row>
    <row r="47" spans="2:14" x14ac:dyDescent="0.3">
      <c r="B47" s="4" t="s">
        <v>77</v>
      </c>
      <c r="C47" s="2">
        <v>325.3</v>
      </c>
      <c r="D47" s="2" t="s">
        <v>185</v>
      </c>
      <c r="E47" s="2">
        <v>100</v>
      </c>
      <c r="H47" s="2">
        <v>100</v>
      </c>
      <c r="I47" s="2">
        <f t="shared" si="1"/>
        <v>0</v>
      </c>
      <c r="N47" s="13"/>
    </row>
    <row r="48" spans="2:14" x14ac:dyDescent="0.3">
      <c r="B48" s="4" t="s">
        <v>79</v>
      </c>
      <c r="C48" s="2">
        <v>335.4</v>
      </c>
      <c r="D48" s="2" t="s">
        <v>185</v>
      </c>
      <c r="E48" s="2">
        <v>100</v>
      </c>
      <c r="H48" s="2">
        <v>100</v>
      </c>
      <c r="I48" s="2">
        <f t="shared" si="1"/>
        <v>0</v>
      </c>
      <c r="N48" s="13"/>
    </row>
    <row r="49" spans="2:14" x14ac:dyDescent="0.3">
      <c r="B49" s="4" t="s">
        <v>81</v>
      </c>
      <c r="C49" s="2">
        <v>293</v>
      </c>
      <c r="D49" s="2" t="s">
        <v>185</v>
      </c>
      <c r="E49" s="2">
        <v>100</v>
      </c>
      <c r="H49" s="2">
        <v>100</v>
      </c>
      <c r="I49" s="2">
        <f t="shared" si="1"/>
        <v>0</v>
      </c>
      <c r="N49" s="13"/>
    </row>
    <row r="50" spans="2:14" x14ac:dyDescent="0.3">
      <c r="B50" s="4" t="s">
        <v>83</v>
      </c>
      <c r="C50" s="2">
        <v>334.3</v>
      </c>
      <c r="D50" s="2" t="s">
        <v>185</v>
      </c>
      <c r="E50" s="2">
        <v>100</v>
      </c>
      <c r="H50" s="2">
        <v>100</v>
      </c>
      <c r="I50" s="2">
        <f t="shared" si="1"/>
        <v>0</v>
      </c>
      <c r="N50" s="13"/>
    </row>
    <row r="51" spans="2:14" x14ac:dyDescent="0.3">
      <c r="B51" s="4" t="s">
        <v>85</v>
      </c>
      <c r="C51" s="2">
        <v>433.6</v>
      </c>
      <c r="D51" s="2" t="s">
        <v>185</v>
      </c>
      <c r="E51" s="2">
        <v>100</v>
      </c>
      <c r="H51" s="2">
        <v>100</v>
      </c>
      <c r="I51" s="2">
        <f t="shared" si="1"/>
        <v>0</v>
      </c>
      <c r="N51" s="13"/>
    </row>
    <row r="52" spans="2:14" x14ac:dyDescent="0.3">
      <c r="B52" s="4" t="s">
        <v>87</v>
      </c>
      <c r="C52" s="2">
        <v>441</v>
      </c>
      <c r="D52" s="2" t="s">
        <v>185</v>
      </c>
      <c r="E52" s="2">
        <v>100</v>
      </c>
      <c r="H52" s="2">
        <v>100</v>
      </c>
      <c r="I52" s="2">
        <f t="shared" si="1"/>
        <v>0</v>
      </c>
      <c r="N52" s="13"/>
    </row>
    <row r="53" spans="2:14" x14ac:dyDescent="0.3">
      <c r="B53" s="4" t="s">
        <v>89</v>
      </c>
      <c r="C53" s="2">
        <v>476.4</v>
      </c>
      <c r="D53" s="2" t="s">
        <v>185</v>
      </c>
      <c r="E53" s="2">
        <v>100</v>
      </c>
      <c r="H53" s="2">
        <v>100</v>
      </c>
      <c r="I53" s="2">
        <f t="shared" si="1"/>
        <v>0</v>
      </c>
      <c r="N53" s="13"/>
    </row>
    <row r="54" spans="2:14" x14ac:dyDescent="0.3">
      <c r="B54" s="4" t="s">
        <v>91</v>
      </c>
      <c r="C54" s="2">
        <v>353.5</v>
      </c>
      <c r="D54" s="2" t="s">
        <v>185</v>
      </c>
      <c r="E54" s="2">
        <v>100</v>
      </c>
      <c r="H54" s="2">
        <v>100</v>
      </c>
      <c r="I54" s="2">
        <f t="shared" si="1"/>
        <v>0</v>
      </c>
      <c r="N54" s="13"/>
    </row>
    <row r="55" spans="2:14" x14ac:dyDescent="0.3">
      <c r="B55" s="4" t="s">
        <v>93</v>
      </c>
      <c r="C55" s="2">
        <v>410.8</v>
      </c>
      <c r="D55" s="2" t="s">
        <v>185</v>
      </c>
      <c r="E55" s="2">
        <v>100</v>
      </c>
      <c r="H55" s="2">
        <v>100</v>
      </c>
      <c r="I55" s="2">
        <f t="shared" si="1"/>
        <v>0</v>
      </c>
      <c r="N55" s="13"/>
    </row>
    <row r="56" spans="2:14" x14ac:dyDescent="0.3">
      <c r="B56" s="4" t="s">
        <v>95</v>
      </c>
      <c r="C56" s="2">
        <v>453.2</v>
      </c>
      <c r="D56" s="2" t="s">
        <v>185</v>
      </c>
      <c r="E56" s="2">
        <v>100</v>
      </c>
      <c r="H56" s="2">
        <v>100</v>
      </c>
      <c r="I56" s="2">
        <f t="shared" si="1"/>
        <v>0</v>
      </c>
      <c r="N56" s="13"/>
    </row>
    <row r="57" spans="2:14" x14ac:dyDescent="0.3">
      <c r="B57" s="4"/>
      <c r="C57" s="4"/>
      <c r="D57" s="14"/>
      <c r="H57" s="2">
        <v>100</v>
      </c>
      <c r="I57" s="2">
        <f t="shared" si="1"/>
        <v>0</v>
      </c>
      <c r="N57" s="13"/>
    </row>
    <row r="58" spans="2:14" x14ac:dyDescent="0.3">
      <c r="B58" s="4" t="s">
        <v>97</v>
      </c>
      <c r="C58" s="2">
        <v>789.1</v>
      </c>
      <c r="D58" s="2" t="s">
        <v>20</v>
      </c>
      <c r="E58" s="2">
        <v>100</v>
      </c>
    </row>
    <row r="59" spans="2:14" x14ac:dyDescent="0.3">
      <c r="B59" s="4" t="s">
        <v>98</v>
      </c>
      <c r="C59" s="2">
        <v>918.3</v>
      </c>
      <c r="D59" s="2" t="s">
        <v>20</v>
      </c>
      <c r="E59" s="2">
        <v>100</v>
      </c>
    </row>
    <row r="60" spans="2:14" x14ac:dyDescent="0.3">
      <c r="B60" s="4" t="s">
        <v>99</v>
      </c>
      <c r="C60" s="2">
        <v>744.7</v>
      </c>
      <c r="D60" s="2" t="s">
        <v>20</v>
      </c>
      <c r="E60" s="2">
        <v>100</v>
      </c>
    </row>
    <row r="61" spans="2:14" x14ac:dyDescent="0.3">
      <c r="B61" s="4" t="s">
        <v>100</v>
      </c>
      <c r="C61" s="2">
        <v>654.5</v>
      </c>
      <c r="D61" s="2" t="s">
        <v>20</v>
      </c>
      <c r="E61" s="2">
        <v>100</v>
      </c>
    </row>
    <row r="65" spans="2:5" x14ac:dyDescent="0.3">
      <c r="B65" s="2" t="s">
        <v>181</v>
      </c>
      <c r="E65" s="2" t="s">
        <v>187</v>
      </c>
    </row>
    <row r="66" spans="2:5" x14ac:dyDescent="0.3">
      <c r="B66" s="3"/>
      <c r="C66" s="3"/>
    </row>
    <row r="67" spans="2:5" x14ac:dyDescent="0.3">
      <c r="B67" s="3" t="s">
        <v>6</v>
      </c>
      <c r="C67" s="2">
        <v>654.9</v>
      </c>
      <c r="E67" s="2">
        <v>100</v>
      </c>
    </row>
    <row r="68" spans="2:5" x14ac:dyDescent="0.3">
      <c r="B68" s="3"/>
      <c r="C68" s="3"/>
      <c r="E68" s="2">
        <v>100</v>
      </c>
    </row>
    <row r="69" spans="2:5" x14ac:dyDescent="0.3">
      <c r="B69" s="3" t="s">
        <v>8</v>
      </c>
      <c r="C69" s="2">
        <v>392.4</v>
      </c>
      <c r="E69" s="2">
        <v>100</v>
      </c>
    </row>
    <row r="70" spans="2:5" x14ac:dyDescent="0.3">
      <c r="B70" s="3"/>
      <c r="C70" s="3"/>
      <c r="E70" s="2">
        <v>100</v>
      </c>
    </row>
    <row r="71" spans="2:5" x14ac:dyDescent="0.3">
      <c r="B71" s="3" t="s">
        <v>11</v>
      </c>
      <c r="C71" s="2">
        <v>491.7</v>
      </c>
      <c r="E71" s="2">
        <v>100</v>
      </c>
    </row>
    <row r="72" spans="2:5" x14ac:dyDescent="0.3">
      <c r="B72" s="3"/>
      <c r="C72" s="3"/>
      <c r="E72" s="2">
        <v>100</v>
      </c>
    </row>
    <row r="73" spans="2:5" x14ac:dyDescent="0.3">
      <c r="B73" s="3" t="s">
        <v>14</v>
      </c>
      <c r="C73" s="2">
        <v>557.79999999999995</v>
      </c>
      <c r="E73" s="2">
        <v>100</v>
      </c>
    </row>
    <row r="74" spans="2:5" x14ac:dyDescent="0.3">
      <c r="B74" s="3"/>
      <c r="C74" s="3"/>
      <c r="E74" s="2">
        <v>100</v>
      </c>
    </row>
    <row r="75" spans="2:5" x14ac:dyDescent="0.3">
      <c r="B75" s="3" t="s">
        <v>16</v>
      </c>
      <c r="C75" s="2">
        <v>591.5</v>
      </c>
      <c r="E75" s="2">
        <v>100</v>
      </c>
    </row>
    <row r="76" spans="2:5" x14ac:dyDescent="0.3">
      <c r="B76" s="3"/>
      <c r="C76" s="3"/>
      <c r="E76" s="2">
        <v>100</v>
      </c>
    </row>
    <row r="77" spans="2:5" x14ac:dyDescent="0.3">
      <c r="B77" s="3" t="s">
        <v>18</v>
      </c>
      <c r="C77" s="2">
        <v>608.4</v>
      </c>
      <c r="E77" s="2">
        <v>100</v>
      </c>
    </row>
    <row r="78" spans="2:5" x14ac:dyDescent="0.3">
      <c r="B78" s="3"/>
      <c r="C78" s="3"/>
      <c r="E78" s="2">
        <v>100</v>
      </c>
    </row>
    <row r="79" spans="2:5" x14ac:dyDescent="0.3">
      <c r="B79" s="3" t="s">
        <v>21</v>
      </c>
      <c r="C79" s="2">
        <v>609.79999999999995</v>
      </c>
      <c r="E79" s="2">
        <v>100</v>
      </c>
    </row>
    <row r="80" spans="2:5" x14ac:dyDescent="0.3">
      <c r="B80" s="3"/>
      <c r="C80" s="3"/>
      <c r="E80" s="2">
        <v>100</v>
      </c>
    </row>
    <row r="81" spans="2:5" x14ac:dyDescent="0.3">
      <c r="B81" s="3" t="s">
        <v>23</v>
      </c>
      <c r="C81" s="2">
        <v>580.20000000000005</v>
      </c>
      <c r="E81" s="2">
        <v>100</v>
      </c>
    </row>
    <row r="82" spans="2:5" x14ac:dyDescent="0.3">
      <c r="B82" s="3"/>
      <c r="C82" s="3"/>
      <c r="E82" s="2">
        <v>100</v>
      </c>
    </row>
    <row r="83" spans="2:5" x14ac:dyDescent="0.3">
      <c r="B83" s="3" t="s">
        <v>25</v>
      </c>
      <c r="C83" s="2">
        <v>567.20000000000005</v>
      </c>
      <c r="E83" s="2">
        <v>100</v>
      </c>
    </row>
    <row r="84" spans="2:5" x14ac:dyDescent="0.3">
      <c r="B84" s="3"/>
      <c r="C84" s="3"/>
      <c r="E84" s="2">
        <v>100</v>
      </c>
    </row>
    <row r="85" spans="2:5" x14ac:dyDescent="0.3">
      <c r="B85" s="3" t="s">
        <v>28</v>
      </c>
      <c r="C85" s="2">
        <v>567.20000000000005</v>
      </c>
      <c r="E85" s="2">
        <v>100</v>
      </c>
    </row>
    <row r="86" spans="2:5" x14ac:dyDescent="0.3">
      <c r="B86" s="3"/>
      <c r="C86" s="3"/>
      <c r="E86" s="2">
        <v>100</v>
      </c>
    </row>
    <row r="87" spans="2:5" x14ac:dyDescent="0.3">
      <c r="B87" s="3" t="s">
        <v>30</v>
      </c>
      <c r="C87" s="2">
        <v>511.9</v>
      </c>
      <c r="E87" s="2">
        <v>100</v>
      </c>
    </row>
    <row r="88" spans="2:5" x14ac:dyDescent="0.3">
      <c r="B88" s="3"/>
      <c r="C88" s="3"/>
      <c r="E88" s="2">
        <v>100</v>
      </c>
    </row>
    <row r="89" spans="2:5" x14ac:dyDescent="0.3">
      <c r="B89" s="3" t="s">
        <v>32</v>
      </c>
      <c r="C89" s="2">
        <v>457.2</v>
      </c>
      <c r="E89" s="2">
        <v>100</v>
      </c>
    </row>
    <row r="90" spans="2:5" x14ac:dyDescent="0.3">
      <c r="B90" s="3"/>
      <c r="C90" s="3"/>
      <c r="E90" s="2">
        <v>100</v>
      </c>
    </row>
    <row r="91" spans="2:5" x14ac:dyDescent="0.3">
      <c r="B91" s="3" t="s">
        <v>34</v>
      </c>
      <c r="C91" s="2">
        <v>381.9</v>
      </c>
      <c r="E91" s="2">
        <v>100</v>
      </c>
    </row>
    <row r="92" spans="2:5" x14ac:dyDescent="0.3">
      <c r="B92" s="3"/>
      <c r="C92" s="3"/>
      <c r="E92" s="2">
        <v>100</v>
      </c>
    </row>
    <row r="93" spans="2:5" x14ac:dyDescent="0.3">
      <c r="B93" s="3" t="s">
        <v>36</v>
      </c>
      <c r="C93" s="2">
        <v>283.2</v>
      </c>
      <c r="E93" s="2">
        <v>100</v>
      </c>
    </row>
    <row r="94" spans="2:5" x14ac:dyDescent="0.3">
      <c r="B94" s="3"/>
      <c r="C94" s="3"/>
      <c r="E94" s="2">
        <v>100</v>
      </c>
    </row>
    <row r="95" spans="2:5" x14ac:dyDescent="0.3">
      <c r="B95" s="3" t="s">
        <v>38</v>
      </c>
      <c r="C95" s="2">
        <v>504.5</v>
      </c>
      <c r="E95" s="2">
        <v>100</v>
      </c>
    </row>
    <row r="96" spans="2:5" x14ac:dyDescent="0.3">
      <c r="B96" s="3"/>
      <c r="C96" s="3"/>
      <c r="E96" s="2">
        <v>100</v>
      </c>
    </row>
    <row r="97" spans="2:5" x14ac:dyDescent="0.3">
      <c r="B97" s="3" t="s">
        <v>40</v>
      </c>
      <c r="C97" s="2">
        <v>643.20000000000005</v>
      </c>
      <c r="E97" s="2">
        <v>100</v>
      </c>
    </row>
    <row r="98" spans="2:5" x14ac:dyDescent="0.3">
      <c r="B98" s="3"/>
      <c r="C98" s="3"/>
      <c r="E98" s="2">
        <v>100</v>
      </c>
    </row>
    <row r="99" spans="2:5" x14ac:dyDescent="0.3">
      <c r="B99" s="3" t="s">
        <v>42</v>
      </c>
      <c r="C99" s="2">
        <v>538.79999999999995</v>
      </c>
      <c r="E99" s="2">
        <v>100</v>
      </c>
    </row>
    <row r="100" spans="2:5" x14ac:dyDescent="0.3">
      <c r="B100" s="3"/>
      <c r="C100" s="3"/>
      <c r="E100" s="2">
        <v>100</v>
      </c>
    </row>
    <row r="101" spans="2:5" x14ac:dyDescent="0.3">
      <c r="B101" s="3" t="s">
        <v>44</v>
      </c>
      <c r="C101" s="2">
        <v>376</v>
      </c>
      <c r="E101" s="2">
        <v>100</v>
      </c>
    </row>
    <row r="102" spans="2:5" x14ac:dyDescent="0.3">
      <c r="B102" s="3"/>
      <c r="C102" s="3"/>
      <c r="E102" s="2">
        <v>100</v>
      </c>
    </row>
    <row r="103" spans="2:5" x14ac:dyDescent="0.3">
      <c r="B103" s="3" t="s">
        <v>46</v>
      </c>
      <c r="C103" s="2">
        <v>359.3</v>
      </c>
      <c r="E103" s="2">
        <v>100</v>
      </c>
    </row>
    <row r="104" spans="2:5" x14ac:dyDescent="0.3">
      <c r="B104" s="3"/>
      <c r="C104" s="3"/>
      <c r="E104" s="2">
        <v>100</v>
      </c>
    </row>
    <row r="105" spans="2:5" x14ac:dyDescent="0.3">
      <c r="B105" s="3" t="s">
        <v>48</v>
      </c>
      <c r="C105" s="2">
        <v>382.6</v>
      </c>
      <c r="E105" s="2">
        <v>100</v>
      </c>
    </row>
    <row r="106" spans="2:5" x14ac:dyDescent="0.3">
      <c r="B106" s="3"/>
      <c r="C106" s="3"/>
      <c r="E106" s="2">
        <v>100</v>
      </c>
    </row>
    <row r="107" spans="2:5" x14ac:dyDescent="0.3">
      <c r="B107" s="3" t="s">
        <v>50</v>
      </c>
      <c r="C107" s="2">
        <v>402</v>
      </c>
      <c r="E107" s="2">
        <v>100</v>
      </c>
    </row>
    <row r="108" spans="2:5" x14ac:dyDescent="0.3">
      <c r="B108" s="3"/>
      <c r="C108" s="3"/>
      <c r="E108" s="2">
        <v>100</v>
      </c>
    </row>
    <row r="109" spans="2:5" x14ac:dyDescent="0.3">
      <c r="B109" s="3" t="s">
        <v>52</v>
      </c>
      <c r="C109" s="2">
        <v>409.7</v>
      </c>
      <c r="E109" s="2">
        <v>100</v>
      </c>
    </row>
    <row r="110" spans="2:5" x14ac:dyDescent="0.3">
      <c r="B110" s="3"/>
      <c r="C110" s="3"/>
      <c r="E110" s="2">
        <v>100</v>
      </c>
    </row>
    <row r="111" spans="2:5" x14ac:dyDescent="0.3">
      <c r="B111" s="3" t="s">
        <v>54</v>
      </c>
      <c r="C111" s="2">
        <v>406</v>
      </c>
      <c r="E111" s="2">
        <v>100</v>
      </c>
    </row>
    <row r="112" spans="2:5" x14ac:dyDescent="0.3">
      <c r="B112" s="3"/>
      <c r="C112" s="3"/>
      <c r="E112" s="2">
        <v>100</v>
      </c>
    </row>
    <row r="113" spans="2:5" x14ac:dyDescent="0.3">
      <c r="B113" s="3" t="s">
        <v>56</v>
      </c>
      <c r="C113" s="2">
        <v>406.3</v>
      </c>
      <c r="E113" s="2">
        <v>100</v>
      </c>
    </row>
    <row r="114" spans="2:5" x14ac:dyDescent="0.3">
      <c r="B114" s="3"/>
      <c r="C114" s="3"/>
      <c r="E114" s="2">
        <v>100</v>
      </c>
    </row>
    <row r="115" spans="2:5" x14ac:dyDescent="0.3">
      <c r="B115" s="3" t="s">
        <v>58</v>
      </c>
      <c r="C115" s="2">
        <v>600.70000000000005</v>
      </c>
      <c r="E115" s="2">
        <v>100</v>
      </c>
    </row>
    <row r="116" spans="2:5" x14ac:dyDescent="0.3">
      <c r="B116" s="3"/>
      <c r="C116" s="3"/>
      <c r="E116" s="2">
        <v>100</v>
      </c>
    </row>
    <row r="117" spans="2:5" x14ac:dyDescent="0.3">
      <c r="B117" s="3" t="s">
        <v>60</v>
      </c>
      <c r="C117" s="2">
        <v>433.3</v>
      </c>
      <c r="E117" s="2">
        <v>100</v>
      </c>
    </row>
    <row r="118" spans="2:5" x14ac:dyDescent="0.3">
      <c r="B118" s="3"/>
      <c r="C118" s="3"/>
      <c r="E118" s="2">
        <v>100</v>
      </c>
    </row>
    <row r="119" spans="2:5" x14ac:dyDescent="0.3">
      <c r="B119" s="3" t="s">
        <v>62</v>
      </c>
      <c r="C119" s="2">
        <v>426.8</v>
      </c>
      <c r="E119" s="2">
        <v>100</v>
      </c>
    </row>
    <row r="120" spans="2:5" x14ac:dyDescent="0.3">
      <c r="B120" s="3"/>
      <c r="C120" s="3"/>
      <c r="E120" s="2">
        <v>100</v>
      </c>
    </row>
    <row r="121" spans="2:5" x14ac:dyDescent="0.3">
      <c r="B121" s="3" t="s">
        <v>64</v>
      </c>
      <c r="C121" s="2">
        <v>426.8</v>
      </c>
      <c r="E121" s="2">
        <v>100</v>
      </c>
    </row>
    <row r="122" spans="2:5" x14ac:dyDescent="0.3">
      <c r="B122" s="3"/>
      <c r="C122" s="3"/>
      <c r="E122" s="2">
        <v>100</v>
      </c>
    </row>
    <row r="123" spans="2:5" x14ac:dyDescent="0.3">
      <c r="B123" s="3" t="s">
        <v>66</v>
      </c>
      <c r="C123" s="2">
        <v>426.8</v>
      </c>
      <c r="E123" s="2">
        <v>100</v>
      </c>
    </row>
    <row r="124" spans="2:5" x14ac:dyDescent="0.3">
      <c r="B124" s="3"/>
      <c r="C124" s="3"/>
      <c r="E124" s="2">
        <v>100</v>
      </c>
    </row>
    <row r="125" spans="2:5" x14ac:dyDescent="0.3">
      <c r="B125" s="3" t="s">
        <v>68</v>
      </c>
      <c r="C125" s="2">
        <v>426.8</v>
      </c>
      <c r="E125" s="2">
        <v>100</v>
      </c>
    </row>
    <row r="126" spans="2:5" x14ac:dyDescent="0.3">
      <c r="B126" s="3"/>
      <c r="C126" s="3"/>
      <c r="E126" s="2">
        <v>100</v>
      </c>
    </row>
    <row r="127" spans="2:5" x14ac:dyDescent="0.3">
      <c r="B127" s="3" t="s">
        <v>70</v>
      </c>
      <c r="C127" s="2">
        <v>426.8</v>
      </c>
      <c r="E127" s="2">
        <v>100</v>
      </c>
    </row>
    <row r="128" spans="2:5" x14ac:dyDescent="0.3">
      <c r="B128" s="3"/>
      <c r="C128" s="3"/>
      <c r="E128" s="2">
        <v>100</v>
      </c>
    </row>
    <row r="129" spans="2:5" x14ac:dyDescent="0.3">
      <c r="B129" s="3" t="s">
        <v>72</v>
      </c>
      <c r="C129" s="2">
        <v>426.8</v>
      </c>
      <c r="E129" s="2">
        <v>100</v>
      </c>
    </row>
    <row r="130" spans="2:5" x14ac:dyDescent="0.3">
      <c r="B130" s="3"/>
      <c r="C130" s="3"/>
      <c r="E130" s="2">
        <v>100</v>
      </c>
    </row>
    <row r="131" spans="2:5" x14ac:dyDescent="0.3">
      <c r="B131" s="3" t="s">
        <v>74</v>
      </c>
      <c r="C131" s="2">
        <v>426.8</v>
      </c>
      <c r="E131" s="2">
        <v>100</v>
      </c>
    </row>
    <row r="132" spans="2:5" x14ac:dyDescent="0.3">
      <c r="B132" s="3"/>
      <c r="C132" s="3"/>
      <c r="E132" s="2">
        <v>100</v>
      </c>
    </row>
    <row r="133" spans="2:5" x14ac:dyDescent="0.3">
      <c r="B133" s="3" t="s">
        <v>76</v>
      </c>
      <c r="C133" s="2">
        <v>426.8</v>
      </c>
      <c r="E133" s="2">
        <v>100</v>
      </c>
    </row>
    <row r="134" spans="2:5" x14ac:dyDescent="0.3">
      <c r="B134" s="3"/>
      <c r="C134" s="3"/>
      <c r="E134" s="2">
        <v>100</v>
      </c>
    </row>
    <row r="135" spans="2:5" x14ac:dyDescent="0.3">
      <c r="B135" s="3" t="s">
        <v>78</v>
      </c>
      <c r="C135" s="2">
        <v>426.8</v>
      </c>
      <c r="E135" s="2">
        <v>100</v>
      </c>
    </row>
    <row r="136" spans="2:5" x14ac:dyDescent="0.3">
      <c r="B136" s="3"/>
      <c r="C136" s="3"/>
      <c r="E136" s="2">
        <v>100</v>
      </c>
    </row>
    <row r="137" spans="2:5" x14ac:dyDescent="0.3">
      <c r="B137" s="3" t="s">
        <v>80</v>
      </c>
      <c r="C137" s="2">
        <v>426.8</v>
      </c>
      <c r="E137" s="2">
        <v>100</v>
      </c>
    </row>
    <row r="138" spans="2:5" x14ac:dyDescent="0.3">
      <c r="B138" s="3"/>
      <c r="C138" s="3"/>
      <c r="E138" s="2">
        <v>100</v>
      </c>
    </row>
    <row r="139" spans="2:5" x14ac:dyDescent="0.3">
      <c r="B139" s="3" t="s">
        <v>82</v>
      </c>
      <c r="C139" s="2">
        <v>412.6</v>
      </c>
      <c r="E139" s="2">
        <v>100</v>
      </c>
    </row>
    <row r="140" spans="2:5" x14ac:dyDescent="0.3">
      <c r="B140" s="3"/>
      <c r="C140" s="3"/>
      <c r="E140" s="2">
        <v>100</v>
      </c>
    </row>
    <row r="141" spans="2:5" x14ac:dyDescent="0.3">
      <c r="B141" s="3" t="s">
        <v>84</v>
      </c>
      <c r="C141" s="2">
        <v>539.70000000000005</v>
      </c>
      <c r="E141" s="2">
        <v>100</v>
      </c>
    </row>
    <row r="142" spans="2:5" x14ac:dyDescent="0.3">
      <c r="B142" s="3"/>
      <c r="C142" s="3"/>
      <c r="E142" s="2">
        <v>100</v>
      </c>
    </row>
    <row r="143" spans="2:5" x14ac:dyDescent="0.3">
      <c r="B143" s="3" t="s">
        <v>86</v>
      </c>
      <c r="C143" s="2">
        <v>612.6</v>
      </c>
      <c r="E143" s="2">
        <v>100</v>
      </c>
    </row>
    <row r="144" spans="2:5" x14ac:dyDescent="0.3">
      <c r="B144" s="3"/>
      <c r="C144" s="3"/>
      <c r="E144" s="2">
        <v>100</v>
      </c>
    </row>
    <row r="145" spans="2:5" x14ac:dyDescent="0.3">
      <c r="B145" s="3" t="s">
        <v>88</v>
      </c>
      <c r="C145" s="2">
        <v>422.6</v>
      </c>
      <c r="E145" s="2">
        <v>100</v>
      </c>
    </row>
    <row r="146" spans="2:5" x14ac:dyDescent="0.3">
      <c r="B146" s="3"/>
      <c r="C146" s="3"/>
      <c r="E146" s="2">
        <v>100</v>
      </c>
    </row>
    <row r="147" spans="2:5" x14ac:dyDescent="0.3">
      <c r="B147" s="3" t="s">
        <v>90</v>
      </c>
      <c r="C147" s="2">
        <v>487.1</v>
      </c>
      <c r="E147" s="2">
        <v>100</v>
      </c>
    </row>
    <row r="148" spans="2:5" x14ac:dyDescent="0.3">
      <c r="B148" s="3"/>
      <c r="C148" s="3"/>
      <c r="E148" s="2">
        <v>100</v>
      </c>
    </row>
    <row r="149" spans="2:5" x14ac:dyDescent="0.3">
      <c r="B149" s="3" t="s">
        <v>92</v>
      </c>
      <c r="C149" s="2">
        <v>436.5</v>
      </c>
      <c r="E149" s="2">
        <v>100</v>
      </c>
    </row>
    <row r="150" spans="2:5" x14ac:dyDescent="0.3">
      <c r="B150" s="3"/>
      <c r="C150" s="3"/>
      <c r="E150" s="2">
        <v>100</v>
      </c>
    </row>
    <row r="151" spans="2:5" x14ac:dyDescent="0.3">
      <c r="B151" s="3" t="s">
        <v>94</v>
      </c>
      <c r="C151" s="2">
        <v>646.29999999999995</v>
      </c>
      <c r="E151" s="2">
        <v>100</v>
      </c>
    </row>
    <row r="152" spans="2:5" x14ac:dyDescent="0.3">
      <c r="B152" s="3"/>
      <c r="C152" s="3"/>
      <c r="E152" s="2">
        <v>100</v>
      </c>
    </row>
    <row r="153" spans="2:5" x14ac:dyDescent="0.3">
      <c r="B153" s="3" t="s">
        <v>96</v>
      </c>
      <c r="C153" s="2">
        <v>400.2</v>
      </c>
      <c r="E153" s="2">
        <v>100</v>
      </c>
    </row>
    <row r="154" spans="2:5" x14ac:dyDescent="0.3">
      <c r="E154" s="2">
        <v>100</v>
      </c>
    </row>
    <row r="155" spans="2:5" x14ac:dyDescent="0.3">
      <c r="E155" s="2">
        <v>100</v>
      </c>
    </row>
    <row r="156" spans="2:5" x14ac:dyDescent="0.3">
      <c r="E156" s="2">
        <v>100</v>
      </c>
    </row>
    <row r="157" spans="2:5" x14ac:dyDescent="0.3">
      <c r="E157" s="2">
        <v>100</v>
      </c>
    </row>
    <row r="158" spans="2:5" x14ac:dyDescent="0.3">
      <c r="E158" s="2">
        <v>100</v>
      </c>
    </row>
  </sheetData>
  <autoFilter ref="J1:J141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487D-4C27-4B76-89A4-84985A864872}">
  <sheetPr>
    <tabColor theme="8" tint="0.39997558519241921"/>
  </sheetPr>
  <dimension ref="A2:J44"/>
  <sheetViews>
    <sheetView topLeftCell="A16" zoomScale="120" zoomScaleNormal="120" workbookViewId="0">
      <selection activeCell="C11" sqref="C11"/>
    </sheetView>
  </sheetViews>
  <sheetFormatPr defaultRowHeight="14.4" x14ac:dyDescent="0.3"/>
  <cols>
    <col min="1" max="1" width="15.88671875" customWidth="1"/>
    <col min="2" max="3" width="14.21875" customWidth="1"/>
    <col min="5" max="5" width="15.77734375" customWidth="1"/>
  </cols>
  <sheetData>
    <row r="2" spans="1:10" x14ac:dyDescent="0.3">
      <c r="A2" s="2" t="s">
        <v>181</v>
      </c>
    </row>
    <row r="3" spans="1:10" x14ac:dyDescent="0.3">
      <c r="A3" s="5" t="s">
        <v>101</v>
      </c>
      <c r="B3" s="2">
        <v>384</v>
      </c>
      <c r="D3" s="2"/>
      <c r="E3" s="2" t="s">
        <v>9</v>
      </c>
      <c r="F3" s="2"/>
      <c r="G3" s="1">
        <v>77000</v>
      </c>
      <c r="H3" s="1"/>
      <c r="I3" s="2">
        <v>19200</v>
      </c>
      <c r="J3" s="2">
        <v>96200</v>
      </c>
    </row>
    <row r="4" spans="1:10" x14ac:dyDescent="0.3">
      <c r="A4" s="5"/>
      <c r="D4" s="2"/>
      <c r="E4" s="2" t="s">
        <v>5</v>
      </c>
      <c r="F4" s="2"/>
      <c r="G4" s="1">
        <v>264000</v>
      </c>
      <c r="H4" s="1"/>
      <c r="I4" s="2">
        <v>32464</v>
      </c>
      <c r="J4" s="2">
        <v>296464</v>
      </c>
    </row>
    <row r="5" spans="1:10" x14ac:dyDescent="0.3">
      <c r="A5" s="5" t="s">
        <v>103</v>
      </c>
      <c r="B5" s="2">
        <v>509.5</v>
      </c>
      <c r="D5" s="2"/>
      <c r="E5" s="2" t="s">
        <v>12</v>
      </c>
      <c r="F5" s="2"/>
      <c r="G5" s="1">
        <v>187000</v>
      </c>
      <c r="H5" s="1"/>
      <c r="I5" s="2">
        <v>25475</v>
      </c>
      <c r="J5" s="2">
        <v>212475</v>
      </c>
    </row>
    <row r="6" spans="1:10" x14ac:dyDescent="0.3">
      <c r="A6" s="5"/>
      <c r="D6" s="2"/>
      <c r="E6" s="2" t="s">
        <v>20</v>
      </c>
      <c r="F6" s="2"/>
      <c r="G6" s="1">
        <v>440000</v>
      </c>
      <c r="H6" s="1"/>
      <c r="I6" s="2">
        <v>45095</v>
      </c>
      <c r="J6" s="2">
        <v>485095</v>
      </c>
    </row>
    <row r="7" spans="1:10" x14ac:dyDescent="0.3">
      <c r="A7" s="5" t="s">
        <v>105</v>
      </c>
      <c r="B7" s="2">
        <v>599.20000000000005</v>
      </c>
      <c r="D7" s="2"/>
      <c r="E7" s="2" t="s">
        <v>12</v>
      </c>
      <c r="F7" s="2"/>
      <c r="G7" s="1">
        <v>187000</v>
      </c>
      <c r="H7" s="1"/>
      <c r="I7" s="2">
        <v>29960</v>
      </c>
      <c r="J7" s="2">
        <v>216960</v>
      </c>
    </row>
    <row r="8" spans="1:10" x14ac:dyDescent="0.3">
      <c r="A8" s="5"/>
      <c r="D8" s="2"/>
      <c r="E8" s="2" t="s">
        <v>12</v>
      </c>
      <c r="F8" s="2"/>
      <c r="G8" s="1">
        <v>187000</v>
      </c>
      <c r="H8" s="1"/>
      <c r="I8" s="2">
        <v>25710</v>
      </c>
      <c r="J8" s="2">
        <v>212710</v>
      </c>
    </row>
    <row r="9" spans="1:10" x14ac:dyDescent="0.3">
      <c r="A9" s="5" t="s">
        <v>107</v>
      </c>
      <c r="B9" s="2">
        <v>565.29999999999995</v>
      </c>
      <c r="D9" s="2"/>
      <c r="E9" s="2" t="s">
        <v>12</v>
      </c>
      <c r="F9" s="2"/>
      <c r="G9" s="1">
        <v>187000</v>
      </c>
      <c r="H9" s="1"/>
      <c r="I9" s="2">
        <v>28264</v>
      </c>
      <c r="J9" s="2">
        <v>215264</v>
      </c>
    </row>
    <row r="10" spans="1:10" x14ac:dyDescent="0.3">
      <c r="A10" s="5"/>
      <c r="D10" s="2"/>
      <c r="E10" s="2" t="s">
        <v>9</v>
      </c>
      <c r="F10" s="2"/>
      <c r="G10" s="1">
        <v>77000</v>
      </c>
      <c r="H10" s="1"/>
      <c r="I10" s="2">
        <v>16875</v>
      </c>
      <c r="J10" s="2">
        <v>93875</v>
      </c>
    </row>
    <row r="11" spans="1:10" x14ac:dyDescent="0.3">
      <c r="A11" s="5" t="s">
        <v>109</v>
      </c>
      <c r="B11" s="2">
        <v>491.1</v>
      </c>
      <c r="D11" s="2"/>
      <c r="E11" s="2" t="s">
        <v>12</v>
      </c>
      <c r="F11" s="2"/>
      <c r="G11" s="1">
        <v>187000</v>
      </c>
      <c r="H11" s="1"/>
      <c r="I11" s="2">
        <v>24555</v>
      </c>
      <c r="J11" s="2">
        <v>211555</v>
      </c>
    </row>
    <row r="12" spans="1:10" x14ac:dyDescent="0.3">
      <c r="A12" s="5"/>
      <c r="D12" s="2"/>
      <c r="E12" s="2" t="s">
        <v>9</v>
      </c>
      <c r="F12" s="2"/>
      <c r="G12" s="1">
        <v>77000</v>
      </c>
      <c r="H12" s="1"/>
      <c r="I12" s="2">
        <v>19845</v>
      </c>
      <c r="J12" s="2">
        <v>96845</v>
      </c>
    </row>
    <row r="13" spans="1:10" x14ac:dyDescent="0.3">
      <c r="A13" s="5" t="s">
        <v>111</v>
      </c>
      <c r="B13" s="2">
        <v>466.5</v>
      </c>
      <c r="D13" s="2"/>
      <c r="E13" s="2" t="s">
        <v>12</v>
      </c>
      <c r="F13" s="2"/>
      <c r="G13" s="1">
        <v>187000</v>
      </c>
      <c r="H13" s="1"/>
      <c r="I13" s="2">
        <v>23325</v>
      </c>
      <c r="J13" s="2">
        <v>210325</v>
      </c>
    </row>
    <row r="14" spans="1:10" x14ac:dyDescent="0.3">
      <c r="A14" s="5"/>
      <c r="D14" s="2"/>
      <c r="E14" s="2" t="s">
        <v>27</v>
      </c>
      <c r="F14" s="2"/>
      <c r="G14" s="1">
        <v>105000</v>
      </c>
      <c r="H14" s="1"/>
      <c r="I14" s="2">
        <v>20895</v>
      </c>
      <c r="J14" s="2">
        <v>125895</v>
      </c>
    </row>
    <row r="15" spans="1:10" x14ac:dyDescent="0.3">
      <c r="A15" s="5" t="s">
        <v>113</v>
      </c>
      <c r="B15" s="2">
        <v>522.9</v>
      </c>
      <c r="D15" s="2"/>
      <c r="E15" s="2" t="s">
        <v>12</v>
      </c>
      <c r="F15" s="2"/>
      <c r="G15" s="1">
        <v>187000</v>
      </c>
      <c r="H15" s="1"/>
      <c r="I15" s="2">
        <v>26145</v>
      </c>
      <c r="J15" s="2">
        <v>213145</v>
      </c>
    </row>
    <row r="16" spans="1:10" x14ac:dyDescent="0.3">
      <c r="A16" s="5"/>
      <c r="D16" s="2"/>
      <c r="E16" s="2" t="s">
        <v>27</v>
      </c>
      <c r="F16" s="2"/>
      <c r="G16" s="1">
        <v>105000</v>
      </c>
      <c r="H16" s="1"/>
      <c r="I16" s="2">
        <v>20640</v>
      </c>
      <c r="J16" s="2">
        <v>125640</v>
      </c>
    </row>
    <row r="17" spans="1:10" x14ac:dyDescent="0.3">
      <c r="A17" s="5" t="s">
        <v>115</v>
      </c>
      <c r="B17" s="2">
        <v>582.20000000000005</v>
      </c>
      <c r="D17" s="2"/>
      <c r="E17" s="2" t="s">
        <v>12</v>
      </c>
      <c r="F17" s="2"/>
      <c r="G17" s="1">
        <v>187000</v>
      </c>
      <c r="H17" s="1"/>
      <c r="I17" s="2">
        <v>29110</v>
      </c>
      <c r="J17" s="2">
        <v>216110</v>
      </c>
    </row>
    <row r="18" spans="1:10" x14ac:dyDescent="0.3">
      <c r="A18" s="5"/>
      <c r="D18" s="2"/>
      <c r="E18" s="2" t="s">
        <v>12</v>
      </c>
      <c r="F18" s="2"/>
      <c r="G18" s="1">
        <v>187000</v>
      </c>
      <c r="H18" s="1"/>
      <c r="I18" s="2">
        <v>29525</v>
      </c>
      <c r="J18" s="2">
        <v>216525</v>
      </c>
    </row>
    <row r="19" spans="1:10" x14ac:dyDescent="0.3">
      <c r="A19" s="5" t="s">
        <v>117</v>
      </c>
      <c r="B19" s="2">
        <v>557.29999999999995</v>
      </c>
      <c r="D19" s="2"/>
      <c r="E19" s="2" t="s">
        <v>12</v>
      </c>
      <c r="F19" s="2"/>
      <c r="G19" s="1">
        <v>187000</v>
      </c>
      <c r="H19" s="1"/>
      <c r="I19" s="2">
        <v>27864</v>
      </c>
      <c r="J19" s="2">
        <v>214864</v>
      </c>
    </row>
    <row r="20" spans="1:10" x14ac:dyDescent="0.3">
      <c r="A20" s="5" t="s">
        <v>118</v>
      </c>
      <c r="B20" s="2">
        <v>498.4</v>
      </c>
      <c r="C20" s="2"/>
      <c r="E20" s="2" t="s">
        <v>12</v>
      </c>
      <c r="F20" s="2"/>
      <c r="G20" s="1">
        <v>187000</v>
      </c>
      <c r="H20" s="1"/>
      <c r="I20" s="2">
        <v>24920</v>
      </c>
      <c r="J20" s="2">
        <v>211920</v>
      </c>
    </row>
    <row r="21" spans="1:10" x14ac:dyDescent="0.3">
      <c r="A21" s="5" t="s">
        <v>119</v>
      </c>
      <c r="B21" s="2">
        <v>438.1</v>
      </c>
      <c r="C21" s="2"/>
      <c r="E21" s="2" t="s">
        <v>27</v>
      </c>
      <c r="F21" s="2"/>
      <c r="G21" s="1">
        <v>105000</v>
      </c>
      <c r="H21" s="1"/>
      <c r="I21" s="2">
        <v>21905</v>
      </c>
      <c r="J21" s="2">
        <v>126905</v>
      </c>
    </row>
    <row r="22" spans="1:10" x14ac:dyDescent="0.3">
      <c r="A22" s="5" t="s">
        <v>120</v>
      </c>
      <c r="B22" s="2">
        <v>377.7</v>
      </c>
      <c r="C22" s="2"/>
      <c r="E22" s="2" t="s">
        <v>9</v>
      </c>
      <c r="F22" s="2"/>
      <c r="G22" s="1">
        <v>77000</v>
      </c>
      <c r="H22" s="1"/>
      <c r="I22" s="2">
        <v>18885</v>
      </c>
      <c r="J22" s="2">
        <v>95885</v>
      </c>
    </row>
    <row r="23" spans="1:10" x14ac:dyDescent="0.3">
      <c r="A23" s="5" t="s">
        <v>121</v>
      </c>
      <c r="B23" s="2">
        <v>317.39999999999998</v>
      </c>
      <c r="C23" s="2"/>
      <c r="E23" s="2" t="s">
        <v>9</v>
      </c>
      <c r="F23" s="2"/>
      <c r="G23" s="1">
        <v>77000</v>
      </c>
      <c r="H23" s="1"/>
      <c r="I23" s="2">
        <v>15869</v>
      </c>
      <c r="J23" s="2">
        <v>92869</v>
      </c>
    </row>
    <row r="27" spans="1:10" x14ac:dyDescent="0.3">
      <c r="A27" s="2" t="s">
        <v>182</v>
      </c>
      <c r="B27" s="2"/>
    </row>
    <row r="28" spans="1:10" x14ac:dyDescent="0.3">
      <c r="A28" s="6"/>
      <c r="B28" s="6"/>
    </row>
    <row r="29" spans="1:10" x14ac:dyDescent="0.3">
      <c r="A29" s="6" t="s">
        <v>102</v>
      </c>
      <c r="B29" s="2">
        <v>649.29999999999995</v>
      </c>
    </row>
    <row r="30" spans="1:10" x14ac:dyDescent="0.3">
      <c r="A30" s="6"/>
      <c r="B30" s="6"/>
    </row>
    <row r="31" spans="1:10" x14ac:dyDescent="0.3">
      <c r="A31" s="6" t="s">
        <v>104</v>
      </c>
      <c r="B31" s="2">
        <v>901.9</v>
      </c>
    </row>
    <row r="32" spans="1:10" x14ac:dyDescent="0.3">
      <c r="A32" s="6"/>
      <c r="B32" s="6"/>
    </row>
    <row r="33" spans="1:2" x14ac:dyDescent="0.3">
      <c r="A33" s="6" t="s">
        <v>106</v>
      </c>
      <c r="B33" s="2">
        <v>514.20000000000005</v>
      </c>
    </row>
    <row r="34" spans="1:2" x14ac:dyDescent="0.3">
      <c r="A34" s="6"/>
      <c r="B34" s="6"/>
    </row>
    <row r="35" spans="1:2" x14ac:dyDescent="0.3">
      <c r="A35" s="6" t="s">
        <v>108</v>
      </c>
      <c r="B35" s="2">
        <v>337.5</v>
      </c>
    </row>
    <row r="36" spans="1:2" x14ac:dyDescent="0.3">
      <c r="A36" s="6"/>
      <c r="B36" s="6"/>
    </row>
    <row r="37" spans="1:2" x14ac:dyDescent="0.3">
      <c r="A37" s="6" t="s">
        <v>110</v>
      </c>
      <c r="B37" s="2">
        <v>396.9</v>
      </c>
    </row>
    <row r="38" spans="1:2" x14ac:dyDescent="0.3">
      <c r="A38" s="6"/>
      <c r="B38" s="6"/>
    </row>
    <row r="39" spans="1:2" x14ac:dyDescent="0.3">
      <c r="A39" s="6" t="s">
        <v>112</v>
      </c>
      <c r="B39" s="2">
        <v>417.9</v>
      </c>
    </row>
    <row r="40" spans="1:2" x14ac:dyDescent="0.3">
      <c r="A40" s="6"/>
      <c r="B40" s="6"/>
    </row>
    <row r="41" spans="1:2" x14ac:dyDescent="0.3">
      <c r="A41" s="6" t="s">
        <v>114</v>
      </c>
      <c r="B41" s="2">
        <v>412.8</v>
      </c>
    </row>
    <row r="42" spans="1:2" x14ac:dyDescent="0.3">
      <c r="A42" s="6"/>
      <c r="B42" s="6"/>
    </row>
    <row r="43" spans="1:2" x14ac:dyDescent="0.3">
      <c r="A43" s="6" t="s">
        <v>116</v>
      </c>
      <c r="B43" s="2">
        <v>590.5</v>
      </c>
    </row>
    <row r="44" spans="1:2" x14ac:dyDescent="0.3">
      <c r="A44" s="6"/>
      <c r="B4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9E64-A47A-4DE2-AF48-5A23A98659A2}">
  <sheetPr>
    <tabColor theme="6" tint="0.39997558519241921"/>
  </sheetPr>
  <dimension ref="A2:J89"/>
  <sheetViews>
    <sheetView topLeftCell="A10" zoomScale="120" zoomScaleNormal="120" workbookViewId="0">
      <selection activeCell="P16" sqref="P16"/>
    </sheetView>
  </sheetViews>
  <sheetFormatPr defaultRowHeight="14.4" x14ac:dyDescent="0.3"/>
  <cols>
    <col min="1" max="1" width="16.6640625" customWidth="1"/>
    <col min="2" max="3" width="14.44140625" customWidth="1"/>
    <col min="5" max="5" width="14.6640625" customWidth="1"/>
  </cols>
  <sheetData>
    <row r="2" spans="1:10" x14ac:dyDescent="0.3">
      <c r="A2" s="2" t="s">
        <v>182</v>
      </c>
    </row>
    <row r="3" spans="1:10" x14ac:dyDescent="0.3">
      <c r="A3" s="7" t="s">
        <v>122</v>
      </c>
      <c r="B3" s="2">
        <v>491</v>
      </c>
      <c r="D3" s="2"/>
      <c r="E3" s="2" t="s">
        <v>12</v>
      </c>
      <c r="F3" s="2"/>
      <c r="G3" s="1">
        <v>187000</v>
      </c>
      <c r="H3" s="1"/>
      <c r="I3" s="2">
        <v>24550</v>
      </c>
      <c r="J3" s="2">
        <v>211550</v>
      </c>
    </row>
    <row r="4" spans="1:10" x14ac:dyDescent="0.3">
      <c r="A4" s="7"/>
      <c r="D4" s="2"/>
      <c r="E4" s="2" t="s">
        <v>12</v>
      </c>
      <c r="F4" s="2"/>
      <c r="G4" s="1">
        <v>187000</v>
      </c>
      <c r="H4" s="1"/>
      <c r="I4" s="2">
        <v>27925</v>
      </c>
      <c r="J4" s="2">
        <v>214925</v>
      </c>
    </row>
    <row r="5" spans="1:10" x14ac:dyDescent="0.3">
      <c r="A5" s="7" t="s">
        <v>124</v>
      </c>
      <c r="B5" s="2">
        <v>525.70000000000005</v>
      </c>
      <c r="D5" s="2"/>
      <c r="E5" s="2" t="s">
        <v>12</v>
      </c>
      <c r="F5" s="2"/>
      <c r="G5" s="1">
        <v>187000</v>
      </c>
      <c r="H5" s="1"/>
      <c r="I5" s="2">
        <v>26285</v>
      </c>
      <c r="J5" s="2">
        <v>213285</v>
      </c>
    </row>
    <row r="6" spans="1:10" x14ac:dyDescent="0.3">
      <c r="A6" s="7"/>
      <c r="D6" s="2"/>
      <c r="E6" s="2" t="s">
        <v>27</v>
      </c>
      <c r="F6" s="2"/>
      <c r="G6" s="1">
        <v>105000</v>
      </c>
      <c r="H6" s="1"/>
      <c r="I6" s="2">
        <v>20410</v>
      </c>
      <c r="J6" s="2">
        <v>125410</v>
      </c>
    </row>
    <row r="7" spans="1:10" x14ac:dyDescent="0.3">
      <c r="A7" s="7" t="s">
        <v>126</v>
      </c>
      <c r="B7" s="2">
        <v>570</v>
      </c>
      <c r="D7" s="2"/>
      <c r="E7" s="2" t="s">
        <v>12</v>
      </c>
      <c r="F7" s="2"/>
      <c r="G7" s="1">
        <v>187000</v>
      </c>
      <c r="H7" s="1"/>
      <c r="I7" s="2">
        <v>28500</v>
      </c>
      <c r="J7" s="2">
        <v>215500</v>
      </c>
    </row>
    <row r="8" spans="1:10" x14ac:dyDescent="0.3">
      <c r="A8" s="7"/>
      <c r="D8" s="2"/>
      <c r="E8" s="2" t="s">
        <v>9</v>
      </c>
      <c r="F8" s="2"/>
      <c r="G8" s="1">
        <v>77000</v>
      </c>
      <c r="H8" s="1"/>
      <c r="I8" s="2">
        <v>19950</v>
      </c>
      <c r="J8" s="2">
        <v>96950</v>
      </c>
    </row>
    <row r="9" spans="1:10" x14ac:dyDescent="0.3">
      <c r="A9" s="7" t="s">
        <v>128</v>
      </c>
      <c r="B9" s="2">
        <v>570</v>
      </c>
      <c r="D9" s="2"/>
      <c r="E9" s="2" t="s">
        <v>12</v>
      </c>
      <c r="F9" s="2"/>
      <c r="G9" s="1">
        <v>187000</v>
      </c>
      <c r="H9" s="1"/>
      <c r="I9" s="2">
        <v>28500</v>
      </c>
      <c r="J9" s="2">
        <v>215500</v>
      </c>
    </row>
    <row r="10" spans="1:10" x14ac:dyDescent="0.3">
      <c r="A10" s="7"/>
      <c r="D10" s="2"/>
      <c r="E10" s="2" t="s">
        <v>9</v>
      </c>
      <c r="F10" s="2"/>
      <c r="G10" s="1">
        <v>77000</v>
      </c>
      <c r="H10" s="1"/>
      <c r="I10" s="2">
        <v>19490</v>
      </c>
      <c r="J10" s="2">
        <v>96490</v>
      </c>
    </row>
    <row r="11" spans="1:10" x14ac:dyDescent="0.3">
      <c r="A11" s="7" t="s">
        <v>130</v>
      </c>
      <c r="B11" s="2">
        <v>741.9</v>
      </c>
      <c r="D11" s="2"/>
      <c r="E11" s="2" t="s">
        <v>5</v>
      </c>
      <c r="F11" s="2"/>
      <c r="G11" s="1">
        <v>264000</v>
      </c>
      <c r="H11" s="1"/>
      <c r="I11" s="2">
        <v>37095</v>
      </c>
      <c r="J11" s="2">
        <v>301095</v>
      </c>
    </row>
    <row r="12" spans="1:10" x14ac:dyDescent="0.3">
      <c r="A12" s="7"/>
      <c r="D12" s="2"/>
      <c r="E12" s="2" t="s">
        <v>9</v>
      </c>
      <c r="F12" s="2"/>
      <c r="G12" s="1">
        <v>77000</v>
      </c>
      <c r="H12" s="1"/>
      <c r="I12" s="2">
        <v>19025</v>
      </c>
      <c r="J12" s="2">
        <v>96025</v>
      </c>
    </row>
    <row r="13" spans="1:10" x14ac:dyDescent="0.3">
      <c r="A13" s="7" t="s">
        <v>132</v>
      </c>
      <c r="B13" s="2">
        <v>789.9</v>
      </c>
      <c r="D13" s="2"/>
      <c r="E13" s="2" t="s">
        <v>5</v>
      </c>
      <c r="F13" s="2"/>
      <c r="G13" s="1">
        <v>264000</v>
      </c>
      <c r="H13" s="1"/>
      <c r="I13" s="2">
        <v>39495</v>
      </c>
      <c r="J13" s="2">
        <v>303495</v>
      </c>
    </row>
    <row r="14" spans="1:10" x14ac:dyDescent="0.3">
      <c r="A14" s="7"/>
      <c r="D14" s="2"/>
      <c r="E14" s="2" t="s">
        <v>9</v>
      </c>
      <c r="F14" s="2"/>
      <c r="G14" s="1">
        <v>77000</v>
      </c>
      <c r="H14" s="1"/>
      <c r="I14" s="2">
        <v>18615</v>
      </c>
      <c r="J14" s="2">
        <v>95615</v>
      </c>
    </row>
    <row r="15" spans="1:10" x14ac:dyDescent="0.3">
      <c r="A15" s="7" t="s">
        <v>134</v>
      </c>
      <c r="B15" s="2">
        <v>509.8</v>
      </c>
      <c r="D15" s="2"/>
      <c r="E15" s="2" t="s">
        <v>12</v>
      </c>
      <c r="F15" s="2"/>
      <c r="G15" s="1">
        <v>187000</v>
      </c>
      <c r="H15" s="1"/>
      <c r="I15" s="2">
        <v>25490</v>
      </c>
      <c r="J15" s="2">
        <v>212490</v>
      </c>
    </row>
    <row r="16" spans="1:10" x14ac:dyDescent="0.3">
      <c r="A16" s="7"/>
      <c r="D16" s="2"/>
      <c r="E16" s="2" t="s">
        <v>9</v>
      </c>
      <c r="F16" s="2"/>
      <c r="G16" s="1">
        <v>77000</v>
      </c>
      <c r="H16" s="1"/>
      <c r="I16" s="2">
        <v>18525</v>
      </c>
      <c r="J16" s="2">
        <v>95525</v>
      </c>
    </row>
    <row r="17" spans="1:10" x14ac:dyDescent="0.3">
      <c r="A17" s="7" t="s">
        <v>136</v>
      </c>
      <c r="B17" s="2">
        <v>454.3</v>
      </c>
      <c r="D17" s="2"/>
      <c r="E17" s="2" t="s">
        <v>12</v>
      </c>
      <c r="F17" s="2"/>
      <c r="G17" s="1">
        <v>187000</v>
      </c>
      <c r="H17" s="1"/>
      <c r="I17" s="2">
        <v>22715</v>
      </c>
      <c r="J17" s="2">
        <v>209715</v>
      </c>
    </row>
    <row r="18" spans="1:10" x14ac:dyDescent="0.3">
      <c r="A18" s="7"/>
      <c r="D18" s="2"/>
      <c r="E18" s="2" t="s">
        <v>9</v>
      </c>
      <c r="F18" s="2"/>
      <c r="G18" s="1">
        <v>77000</v>
      </c>
      <c r="H18" s="1"/>
      <c r="I18" s="2">
        <v>18490</v>
      </c>
      <c r="J18" s="2">
        <v>95490</v>
      </c>
    </row>
    <row r="19" spans="1:10" x14ac:dyDescent="0.3">
      <c r="A19" s="7" t="s">
        <v>138</v>
      </c>
      <c r="B19" s="2">
        <v>369.9</v>
      </c>
      <c r="D19" s="2"/>
      <c r="E19" s="2" t="s">
        <v>9</v>
      </c>
      <c r="F19" s="2"/>
      <c r="G19" s="1">
        <v>77000</v>
      </c>
      <c r="H19" s="1"/>
      <c r="I19" s="2">
        <v>18495</v>
      </c>
      <c r="J19" s="2">
        <v>95495</v>
      </c>
    </row>
    <row r="20" spans="1:10" x14ac:dyDescent="0.3">
      <c r="A20" s="7"/>
      <c r="D20" s="2"/>
      <c r="E20" s="2" t="s">
        <v>9</v>
      </c>
      <c r="F20" s="2"/>
      <c r="G20" s="1">
        <v>77000</v>
      </c>
      <c r="H20" s="1"/>
      <c r="I20" s="2">
        <v>18455</v>
      </c>
      <c r="J20" s="2">
        <v>95455</v>
      </c>
    </row>
    <row r="21" spans="1:10" x14ac:dyDescent="0.3">
      <c r="A21" s="7" t="s">
        <v>140</v>
      </c>
      <c r="B21" s="2">
        <v>426.8</v>
      </c>
      <c r="D21" s="2"/>
      <c r="E21" s="2" t="s">
        <v>27</v>
      </c>
      <c r="F21" s="2"/>
      <c r="G21" s="1">
        <v>105000</v>
      </c>
      <c r="H21" s="1"/>
      <c r="I21" s="2">
        <v>21340</v>
      </c>
      <c r="J21" s="2">
        <v>126340</v>
      </c>
    </row>
    <row r="22" spans="1:10" x14ac:dyDescent="0.3">
      <c r="A22" s="7"/>
      <c r="D22" s="2"/>
      <c r="E22" s="2" t="s">
        <v>9</v>
      </c>
      <c r="F22" s="2"/>
      <c r="G22" s="1">
        <v>77000</v>
      </c>
      <c r="H22" s="1"/>
      <c r="I22" s="2">
        <v>18455</v>
      </c>
      <c r="J22" s="2">
        <v>95455</v>
      </c>
    </row>
    <row r="23" spans="1:10" x14ac:dyDescent="0.3">
      <c r="A23" s="7" t="s">
        <v>142</v>
      </c>
      <c r="B23" s="2">
        <v>426.8</v>
      </c>
      <c r="D23" s="2"/>
      <c r="E23" s="2" t="s">
        <v>27</v>
      </c>
      <c r="F23" s="2"/>
      <c r="G23" s="1">
        <v>105000</v>
      </c>
      <c r="H23" s="1"/>
      <c r="I23" s="2">
        <v>21340</v>
      </c>
      <c r="J23" s="2">
        <v>126340</v>
      </c>
    </row>
    <row r="24" spans="1:10" x14ac:dyDescent="0.3">
      <c r="A24" s="7"/>
      <c r="D24" s="2"/>
      <c r="E24" s="2" t="s">
        <v>9</v>
      </c>
      <c r="F24" s="2"/>
      <c r="G24" s="1">
        <v>77000</v>
      </c>
      <c r="H24" s="1"/>
      <c r="I24" s="2">
        <v>18970</v>
      </c>
      <c r="J24" s="2">
        <v>95970</v>
      </c>
    </row>
    <row r="25" spans="1:10" x14ac:dyDescent="0.3">
      <c r="A25" s="7" t="s">
        <v>144</v>
      </c>
      <c r="B25" s="2">
        <v>426.8</v>
      </c>
      <c r="D25" s="2"/>
      <c r="E25" s="2" t="s">
        <v>27</v>
      </c>
      <c r="F25" s="2"/>
      <c r="G25" s="1">
        <v>105000</v>
      </c>
      <c r="H25" s="1"/>
      <c r="I25" s="2">
        <v>21340</v>
      </c>
      <c r="J25" s="2">
        <v>126340</v>
      </c>
    </row>
    <row r="26" spans="1:10" x14ac:dyDescent="0.3">
      <c r="A26" s="7"/>
      <c r="D26" s="2"/>
      <c r="E26" s="2" t="s">
        <v>9</v>
      </c>
      <c r="F26" s="2"/>
      <c r="G26" s="1">
        <v>77000</v>
      </c>
      <c r="H26" s="1"/>
      <c r="I26" s="2">
        <v>19645</v>
      </c>
      <c r="J26" s="2">
        <v>96645</v>
      </c>
    </row>
    <row r="27" spans="1:10" x14ac:dyDescent="0.3">
      <c r="A27" s="7" t="s">
        <v>146</v>
      </c>
      <c r="B27" s="2">
        <v>426.8</v>
      </c>
      <c r="D27" s="2"/>
      <c r="E27" s="2" t="s">
        <v>27</v>
      </c>
      <c r="F27" s="2"/>
      <c r="G27" s="1">
        <v>105000</v>
      </c>
      <c r="H27" s="1"/>
      <c r="I27" s="2">
        <v>21340</v>
      </c>
      <c r="J27" s="2">
        <v>126340</v>
      </c>
    </row>
    <row r="28" spans="1:10" x14ac:dyDescent="0.3">
      <c r="A28" s="7"/>
      <c r="D28" s="2"/>
      <c r="E28" s="2" t="s">
        <v>9</v>
      </c>
      <c r="F28" s="2"/>
      <c r="G28" s="1">
        <v>77000</v>
      </c>
      <c r="H28" s="1"/>
      <c r="I28" s="2">
        <v>19920</v>
      </c>
      <c r="J28" s="2">
        <v>96920</v>
      </c>
    </row>
    <row r="29" spans="1:10" x14ac:dyDescent="0.3">
      <c r="A29" s="7" t="s">
        <v>148</v>
      </c>
      <c r="B29" s="2">
        <v>426.8</v>
      </c>
      <c r="D29" s="2"/>
      <c r="E29" s="2" t="s">
        <v>27</v>
      </c>
      <c r="F29" s="2"/>
      <c r="G29" s="1">
        <v>105000</v>
      </c>
      <c r="H29" s="1"/>
      <c r="I29" s="2">
        <v>21340</v>
      </c>
      <c r="J29" s="2">
        <v>126340</v>
      </c>
    </row>
    <row r="30" spans="1:10" x14ac:dyDescent="0.3">
      <c r="A30" s="7"/>
      <c r="D30" s="2"/>
      <c r="E30" s="2" t="s">
        <v>9</v>
      </c>
      <c r="F30" s="2"/>
      <c r="G30" s="1">
        <v>77000</v>
      </c>
      <c r="H30" s="1"/>
      <c r="I30" s="2">
        <v>18850</v>
      </c>
      <c r="J30" s="2">
        <v>95850</v>
      </c>
    </row>
    <row r="31" spans="1:10" x14ac:dyDescent="0.3">
      <c r="A31" s="7" t="s">
        <v>150</v>
      </c>
      <c r="B31" s="2">
        <v>426.8</v>
      </c>
      <c r="D31" s="2"/>
      <c r="E31" s="2" t="s">
        <v>27</v>
      </c>
      <c r="F31" s="2"/>
      <c r="G31" s="1">
        <v>105000</v>
      </c>
      <c r="H31" s="1"/>
      <c r="I31" s="2">
        <v>21340</v>
      </c>
      <c r="J31" s="2">
        <v>126340</v>
      </c>
    </row>
    <row r="32" spans="1:10" x14ac:dyDescent="0.3">
      <c r="A32" s="7"/>
      <c r="D32" s="2"/>
      <c r="E32" s="2" t="s">
        <v>9</v>
      </c>
      <c r="F32" s="2"/>
      <c r="G32" s="1">
        <v>77000</v>
      </c>
      <c r="H32" s="1"/>
      <c r="I32" s="2">
        <v>17115</v>
      </c>
      <c r="J32" s="2">
        <v>94115</v>
      </c>
    </row>
    <row r="33" spans="1:10" x14ac:dyDescent="0.3">
      <c r="A33" s="7" t="s">
        <v>152</v>
      </c>
      <c r="B33" s="2">
        <v>426.8</v>
      </c>
      <c r="D33" s="2"/>
      <c r="E33" s="2" t="s">
        <v>27</v>
      </c>
      <c r="F33" s="2"/>
      <c r="G33" s="1">
        <v>105000</v>
      </c>
      <c r="H33" s="1"/>
      <c r="I33" s="2">
        <v>21340</v>
      </c>
      <c r="J33" s="2">
        <v>126340</v>
      </c>
    </row>
    <row r="34" spans="1:10" x14ac:dyDescent="0.3">
      <c r="A34" s="7"/>
      <c r="D34" s="2"/>
      <c r="E34" s="2" t="s">
        <v>27</v>
      </c>
      <c r="F34" s="2"/>
      <c r="G34" s="1">
        <v>105000</v>
      </c>
      <c r="H34" s="1"/>
      <c r="I34" s="2">
        <v>21515</v>
      </c>
      <c r="J34" s="2">
        <v>126515</v>
      </c>
    </row>
    <row r="35" spans="1:10" x14ac:dyDescent="0.3">
      <c r="A35" s="7" t="s">
        <v>154</v>
      </c>
      <c r="B35" s="2">
        <v>426.8</v>
      </c>
      <c r="D35" s="2"/>
      <c r="E35" s="2" t="s">
        <v>27</v>
      </c>
      <c r="F35" s="2"/>
      <c r="G35" s="1">
        <v>105000</v>
      </c>
      <c r="H35" s="1"/>
      <c r="I35" s="2">
        <v>21340</v>
      </c>
      <c r="J35" s="2">
        <v>126340</v>
      </c>
    </row>
    <row r="36" spans="1:10" x14ac:dyDescent="0.3">
      <c r="A36" s="7" t="s">
        <v>155</v>
      </c>
      <c r="B36" s="2">
        <v>426.8</v>
      </c>
      <c r="C36" s="2"/>
      <c r="D36" s="2"/>
      <c r="E36" s="2" t="s">
        <v>27</v>
      </c>
      <c r="F36" s="2"/>
      <c r="G36" s="1">
        <v>105000</v>
      </c>
      <c r="H36" s="1"/>
      <c r="I36" s="2">
        <v>21340</v>
      </c>
      <c r="J36" s="2">
        <v>126340</v>
      </c>
    </row>
    <row r="37" spans="1:10" x14ac:dyDescent="0.3">
      <c r="A37" s="7" t="s">
        <v>156</v>
      </c>
      <c r="B37" s="2">
        <v>426.8</v>
      </c>
      <c r="C37" s="2"/>
      <c r="D37" s="2"/>
      <c r="E37" s="2" t="s">
        <v>27</v>
      </c>
      <c r="F37" s="2"/>
      <c r="G37" s="1">
        <v>105000</v>
      </c>
      <c r="H37" s="1"/>
      <c r="I37" s="2">
        <v>21340</v>
      </c>
      <c r="J37" s="2">
        <v>126340</v>
      </c>
    </row>
    <row r="38" spans="1:10" x14ac:dyDescent="0.3">
      <c r="A38" s="7" t="s">
        <v>157</v>
      </c>
      <c r="B38" s="2">
        <v>428.7</v>
      </c>
      <c r="C38" s="2"/>
      <c r="D38" s="2"/>
      <c r="E38" s="2" t="s">
        <v>27</v>
      </c>
      <c r="F38" s="2"/>
      <c r="G38" s="1">
        <v>105000</v>
      </c>
      <c r="H38" s="1"/>
      <c r="I38" s="2">
        <v>21435</v>
      </c>
      <c r="J38" s="2">
        <v>126435</v>
      </c>
    </row>
    <row r="39" spans="1:10" x14ac:dyDescent="0.3">
      <c r="A39" s="7" t="s">
        <v>158</v>
      </c>
      <c r="B39" s="2">
        <v>467.1</v>
      </c>
      <c r="C39" s="2"/>
      <c r="D39" s="2"/>
      <c r="E39" s="2" t="s">
        <v>12</v>
      </c>
      <c r="F39" s="2"/>
      <c r="G39" s="1">
        <v>187000</v>
      </c>
      <c r="H39" s="1"/>
      <c r="I39" s="2">
        <v>23355</v>
      </c>
      <c r="J39" s="2">
        <v>210355</v>
      </c>
    </row>
    <row r="40" spans="1:10" x14ac:dyDescent="0.3">
      <c r="A40" s="7" t="s">
        <v>159</v>
      </c>
      <c r="B40" s="2">
        <v>420</v>
      </c>
      <c r="C40" s="2"/>
      <c r="D40" s="2"/>
      <c r="E40" s="2" t="s">
        <v>27</v>
      </c>
      <c r="F40" s="2"/>
      <c r="G40" s="1">
        <v>105000</v>
      </c>
      <c r="H40" s="1"/>
      <c r="I40" s="2">
        <v>21000</v>
      </c>
      <c r="J40" s="2">
        <v>126000</v>
      </c>
    </row>
    <row r="41" spans="1:10" x14ac:dyDescent="0.3">
      <c r="A41" s="7" t="s">
        <v>160</v>
      </c>
      <c r="B41" s="2">
        <v>420</v>
      </c>
      <c r="C41" s="2"/>
      <c r="D41" s="2"/>
      <c r="E41" s="2" t="s">
        <v>27</v>
      </c>
      <c r="F41" s="2"/>
      <c r="G41" s="1">
        <v>105000</v>
      </c>
      <c r="H41" s="1"/>
      <c r="I41" s="2">
        <v>21000</v>
      </c>
      <c r="J41" s="2">
        <v>126000</v>
      </c>
    </row>
    <row r="42" spans="1:10" x14ac:dyDescent="0.3">
      <c r="A42" s="7" t="s">
        <v>161</v>
      </c>
      <c r="B42" s="2">
        <v>420</v>
      </c>
      <c r="C42" s="2"/>
      <c r="D42" s="2"/>
      <c r="E42" s="2" t="s">
        <v>27</v>
      </c>
      <c r="F42" s="2"/>
      <c r="G42" s="1">
        <v>105000</v>
      </c>
      <c r="H42" s="1"/>
      <c r="I42" s="2">
        <v>21000</v>
      </c>
      <c r="J42" s="2">
        <v>126000</v>
      </c>
    </row>
    <row r="43" spans="1:10" x14ac:dyDescent="0.3">
      <c r="A43" s="7" t="s">
        <v>162</v>
      </c>
      <c r="B43" s="2">
        <v>420</v>
      </c>
      <c r="C43" s="2"/>
      <c r="D43" s="2"/>
      <c r="E43" s="2" t="s">
        <v>27</v>
      </c>
      <c r="F43" s="2"/>
      <c r="G43" s="1">
        <v>105000</v>
      </c>
      <c r="H43" s="1"/>
      <c r="I43" s="2">
        <v>21000</v>
      </c>
      <c r="J43" s="2">
        <v>126000</v>
      </c>
    </row>
    <row r="44" spans="1:10" x14ac:dyDescent="0.3">
      <c r="A44" s="7" t="s">
        <v>163</v>
      </c>
      <c r="B44" s="2">
        <v>394.1</v>
      </c>
      <c r="C44" s="2"/>
      <c r="D44" s="2"/>
      <c r="E44" s="2" t="s">
        <v>9</v>
      </c>
      <c r="F44" s="2"/>
      <c r="G44" s="1">
        <v>77000</v>
      </c>
      <c r="H44" s="1"/>
      <c r="I44" s="2">
        <v>19705</v>
      </c>
      <c r="J44" s="2">
        <v>96705</v>
      </c>
    </row>
    <row r="45" spans="1:10" x14ac:dyDescent="0.3">
      <c r="A45" s="7" t="s">
        <v>164</v>
      </c>
      <c r="B45" s="2">
        <v>342.3</v>
      </c>
      <c r="C45" s="2"/>
      <c r="D45" s="2"/>
      <c r="E45" s="2" t="s">
        <v>9</v>
      </c>
      <c r="F45" s="2"/>
      <c r="G45" s="1">
        <v>77000</v>
      </c>
      <c r="H45" s="1"/>
      <c r="I45" s="2">
        <v>17115</v>
      </c>
      <c r="J45" s="2">
        <v>94115</v>
      </c>
    </row>
    <row r="46" spans="1:10" x14ac:dyDescent="0.3">
      <c r="A46" s="7" t="s">
        <v>165</v>
      </c>
      <c r="B46" s="2">
        <v>388.7</v>
      </c>
      <c r="C46" s="2"/>
      <c r="D46" s="2"/>
      <c r="E46" s="2" t="s">
        <v>9</v>
      </c>
      <c r="F46" s="2"/>
      <c r="G46" s="1">
        <v>77000</v>
      </c>
      <c r="H46" s="1"/>
      <c r="I46" s="2">
        <v>19435</v>
      </c>
      <c r="J46" s="2">
        <v>96435</v>
      </c>
    </row>
    <row r="47" spans="1:10" x14ac:dyDescent="0.3">
      <c r="A47" s="7" t="s">
        <v>166</v>
      </c>
      <c r="B47" s="2">
        <v>413</v>
      </c>
      <c r="C47" s="2"/>
      <c r="D47" s="2"/>
      <c r="E47" s="2" t="s">
        <v>27</v>
      </c>
      <c r="F47" s="2"/>
      <c r="G47" s="1">
        <v>105000</v>
      </c>
      <c r="H47" s="1"/>
      <c r="I47" s="2">
        <v>20650</v>
      </c>
      <c r="J47" s="2">
        <v>125650</v>
      </c>
    </row>
    <row r="48" spans="1:10" x14ac:dyDescent="0.3">
      <c r="A48" s="7" t="s">
        <v>167</v>
      </c>
      <c r="B48" s="2">
        <v>419.3</v>
      </c>
      <c r="C48" s="2"/>
      <c r="D48" s="2"/>
      <c r="E48" s="2" t="s">
        <v>27</v>
      </c>
      <c r="F48" s="2"/>
      <c r="G48" s="1">
        <v>105000</v>
      </c>
      <c r="H48" s="1"/>
      <c r="I48" s="2">
        <v>20965</v>
      </c>
      <c r="J48" s="2">
        <v>125965</v>
      </c>
    </row>
    <row r="49" spans="1:10" x14ac:dyDescent="0.3">
      <c r="A49" s="7" t="s">
        <v>168</v>
      </c>
      <c r="B49" s="2">
        <v>426.2</v>
      </c>
      <c r="C49" s="2"/>
      <c r="D49" s="2"/>
      <c r="E49" s="2" t="s">
        <v>27</v>
      </c>
      <c r="F49" s="2"/>
      <c r="G49" s="1">
        <v>105000</v>
      </c>
      <c r="H49" s="1"/>
      <c r="I49" s="2">
        <v>21310</v>
      </c>
      <c r="J49" s="2">
        <v>126310</v>
      </c>
    </row>
    <row r="50" spans="1:10" x14ac:dyDescent="0.3">
      <c r="A50" s="7" t="s">
        <v>169</v>
      </c>
      <c r="B50" s="2">
        <v>427.8</v>
      </c>
      <c r="C50" s="2"/>
      <c r="D50" s="2"/>
      <c r="E50" s="2" t="s">
        <v>27</v>
      </c>
      <c r="F50" s="2"/>
      <c r="G50" s="1">
        <v>105000</v>
      </c>
      <c r="H50" s="1"/>
      <c r="I50" s="2">
        <v>21390</v>
      </c>
      <c r="J50" s="2">
        <v>126390</v>
      </c>
    </row>
    <row r="51" spans="1:10" x14ac:dyDescent="0.3">
      <c r="A51" s="7" t="s">
        <v>170</v>
      </c>
      <c r="B51" s="2">
        <v>415.7</v>
      </c>
      <c r="C51" s="2"/>
      <c r="D51" s="2"/>
      <c r="E51" s="2" t="s">
        <v>27</v>
      </c>
      <c r="F51" s="2"/>
      <c r="G51" s="1">
        <v>105000</v>
      </c>
      <c r="H51" s="1"/>
      <c r="I51" s="2">
        <v>20785</v>
      </c>
      <c r="J51" s="2">
        <v>125785</v>
      </c>
    </row>
    <row r="52" spans="1:10" x14ac:dyDescent="0.3">
      <c r="A52" s="8"/>
    </row>
    <row r="56" spans="1:10" x14ac:dyDescent="0.3">
      <c r="A56" s="2" t="s">
        <v>183</v>
      </c>
      <c r="B56" s="2"/>
    </row>
    <row r="57" spans="1:10" x14ac:dyDescent="0.3">
      <c r="A57" s="9"/>
      <c r="B57" s="9"/>
    </row>
    <row r="58" spans="1:10" x14ac:dyDescent="0.3">
      <c r="A58" s="9" t="s">
        <v>123</v>
      </c>
      <c r="B58" s="2">
        <v>558.5</v>
      </c>
    </row>
    <row r="59" spans="1:10" x14ac:dyDescent="0.3">
      <c r="A59" s="9"/>
      <c r="B59" s="9"/>
    </row>
    <row r="60" spans="1:10" x14ac:dyDescent="0.3">
      <c r="A60" s="9" t="s">
        <v>125</v>
      </c>
      <c r="B60" s="2">
        <v>408.2</v>
      </c>
    </row>
    <row r="61" spans="1:10" x14ac:dyDescent="0.3">
      <c r="A61" s="9"/>
      <c r="B61" s="9"/>
    </row>
    <row r="62" spans="1:10" x14ac:dyDescent="0.3">
      <c r="A62" s="9" t="s">
        <v>127</v>
      </c>
      <c r="B62" s="2">
        <v>399</v>
      </c>
    </row>
    <row r="63" spans="1:10" x14ac:dyDescent="0.3">
      <c r="A63" s="9"/>
      <c r="B63" s="9"/>
    </row>
    <row r="64" spans="1:10" x14ac:dyDescent="0.3">
      <c r="A64" s="9" t="s">
        <v>129</v>
      </c>
      <c r="B64" s="2">
        <v>389.8</v>
      </c>
    </row>
    <row r="65" spans="1:2" x14ac:dyDescent="0.3">
      <c r="A65" s="9"/>
      <c r="B65" s="9"/>
    </row>
    <row r="66" spans="1:2" x14ac:dyDescent="0.3">
      <c r="A66" s="9" t="s">
        <v>131</v>
      </c>
      <c r="B66" s="2">
        <v>380.5</v>
      </c>
    </row>
    <row r="67" spans="1:2" x14ac:dyDescent="0.3">
      <c r="A67" s="9"/>
      <c r="B67" s="9"/>
    </row>
    <row r="68" spans="1:2" x14ac:dyDescent="0.3">
      <c r="A68" s="9" t="s">
        <v>133</v>
      </c>
      <c r="B68" s="2">
        <v>372.3</v>
      </c>
    </row>
    <row r="69" spans="1:2" x14ac:dyDescent="0.3">
      <c r="A69" s="9"/>
      <c r="B69" s="9"/>
    </row>
    <row r="70" spans="1:2" x14ac:dyDescent="0.3">
      <c r="A70" s="9" t="s">
        <v>135</v>
      </c>
      <c r="B70" s="2">
        <v>370.5</v>
      </c>
    </row>
    <row r="71" spans="1:2" x14ac:dyDescent="0.3">
      <c r="A71" s="9"/>
      <c r="B71" s="9"/>
    </row>
    <row r="72" spans="1:2" x14ac:dyDescent="0.3">
      <c r="A72" s="9" t="s">
        <v>137</v>
      </c>
      <c r="B72" s="2">
        <v>369.8</v>
      </c>
    </row>
    <row r="73" spans="1:2" x14ac:dyDescent="0.3">
      <c r="A73" s="9"/>
      <c r="B73" s="9"/>
    </row>
    <row r="74" spans="1:2" x14ac:dyDescent="0.3">
      <c r="A74" s="9" t="s">
        <v>139</v>
      </c>
      <c r="B74" s="2">
        <v>369.1</v>
      </c>
    </row>
    <row r="75" spans="1:2" x14ac:dyDescent="0.3">
      <c r="A75" s="9"/>
      <c r="B75" s="9"/>
    </row>
    <row r="76" spans="1:2" x14ac:dyDescent="0.3">
      <c r="A76" s="9" t="s">
        <v>141</v>
      </c>
      <c r="B76" s="2">
        <v>369.1</v>
      </c>
    </row>
    <row r="77" spans="1:2" x14ac:dyDescent="0.3">
      <c r="A77" s="9"/>
      <c r="B77" s="9"/>
    </row>
    <row r="78" spans="1:2" x14ac:dyDescent="0.3">
      <c r="A78" s="9" t="s">
        <v>143</v>
      </c>
      <c r="B78" s="2">
        <v>379.4</v>
      </c>
    </row>
    <row r="79" spans="1:2" x14ac:dyDescent="0.3">
      <c r="A79" s="9"/>
      <c r="B79" s="9"/>
    </row>
    <row r="80" spans="1:2" x14ac:dyDescent="0.3">
      <c r="A80" s="9" t="s">
        <v>145</v>
      </c>
      <c r="B80" s="2">
        <v>379.4</v>
      </c>
    </row>
    <row r="81" spans="1:2" x14ac:dyDescent="0.3">
      <c r="A81" s="9"/>
      <c r="B81" s="9"/>
    </row>
    <row r="82" spans="1:2" x14ac:dyDescent="0.3">
      <c r="A82" s="9" t="s">
        <v>147</v>
      </c>
      <c r="B82" s="2">
        <v>398.4</v>
      </c>
    </row>
    <row r="83" spans="1:2" x14ac:dyDescent="0.3">
      <c r="A83" s="9"/>
      <c r="B83" s="9"/>
    </row>
    <row r="84" spans="1:2" x14ac:dyDescent="0.3">
      <c r="A84" s="9" t="s">
        <v>149</v>
      </c>
      <c r="B84" s="2">
        <v>377</v>
      </c>
    </row>
    <row r="85" spans="1:2" x14ac:dyDescent="0.3">
      <c r="A85" s="9"/>
      <c r="B85" s="9"/>
    </row>
    <row r="86" spans="1:2" x14ac:dyDescent="0.3">
      <c r="A86" s="9" t="s">
        <v>151</v>
      </c>
      <c r="B86" s="2">
        <v>342.3</v>
      </c>
    </row>
    <row r="87" spans="1:2" x14ac:dyDescent="0.3">
      <c r="A87" s="9"/>
      <c r="B87" s="9"/>
    </row>
    <row r="88" spans="1:2" x14ac:dyDescent="0.3">
      <c r="A88" s="9" t="s">
        <v>153</v>
      </c>
      <c r="B88" s="2">
        <v>430.3</v>
      </c>
    </row>
    <row r="89" spans="1:2" x14ac:dyDescent="0.3">
      <c r="A89" s="9"/>
      <c r="B8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1187-4072-44F0-A373-1FF1F6A0CDEE}">
  <sheetPr>
    <tabColor theme="9" tint="0.39997558519241921"/>
  </sheetPr>
  <dimension ref="A2:J18"/>
  <sheetViews>
    <sheetView workbookViewId="0">
      <selection activeCell="I20" sqref="I20"/>
    </sheetView>
  </sheetViews>
  <sheetFormatPr defaultRowHeight="14.4" x14ac:dyDescent="0.3"/>
  <cols>
    <col min="1" max="1" width="12.77734375" customWidth="1"/>
    <col min="2" max="2" width="12.88671875" customWidth="1"/>
    <col min="4" max="4" width="15.44140625" customWidth="1"/>
  </cols>
  <sheetData>
    <row r="2" spans="1:10" x14ac:dyDescent="0.3">
      <c r="A2" t="s">
        <v>181</v>
      </c>
      <c r="D2" s="15"/>
      <c r="E2" s="15"/>
      <c r="F2" s="15"/>
      <c r="G2" s="15"/>
      <c r="H2" s="15"/>
      <c r="I2" s="15"/>
      <c r="J2" s="15"/>
    </row>
    <row r="3" spans="1:10" x14ac:dyDescent="0.3">
      <c r="A3" s="10" t="s">
        <v>171</v>
      </c>
      <c r="B3" s="10">
        <v>474</v>
      </c>
      <c r="D3" s="16"/>
      <c r="E3" s="16"/>
      <c r="F3" s="17"/>
      <c r="G3" s="17"/>
      <c r="H3" s="16"/>
      <c r="I3" s="16"/>
      <c r="J3" s="18"/>
    </row>
    <row r="4" spans="1:10" x14ac:dyDescent="0.3">
      <c r="A4" s="10"/>
      <c r="D4" s="16"/>
      <c r="E4" s="16"/>
      <c r="F4" s="17"/>
      <c r="G4" s="17"/>
      <c r="H4" s="16"/>
      <c r="I4" s="16"/>
      <c r="J4" s="18"/>
    </row>
    <row r="5" spans="1:10" x14ac:dyDescent="0.3">
      <c r="A5" s="10" t="s">
        <v>173</v>
      </c>
      <c r="B5" s="10">
        <v>474</v>
      </c>
      <c r="D5" s="16"/>
      <c r="E5" s="16"/>
      <c r="F5" s="17"/>
      <c r="G5" s="17"/>
      <c r="H5" s="16"/>
      <c r="I5" s="16"/>
      <c r="J5" s="18"/>
    </row>
    <row r="6" spans="1:10" x14ac:dyDescent="0.3">
      <c r="A6" s="10"/>
      <c r="D6" s="16"/>
      <c r="E6" s="16"/>
      <c r="F6" s="17"/>
      <c r="G6" s="17"/>
      <c r="H6" s="16"/>
      <c r="I6" s="16"/>
      <c r="J6" s="18"/>
    </row>
    <row r="7" spans="1:10" x14ac:dyDescent="0.3">
      <c r="A7" s="2"/>
      <c r="D7" s="16"/>
      <c r="E7" s="16"/>
      <c r="F7" s="17"/>
      <c r="G7" s="17"/>
      <c r="H7" s="16"/>
      <c r="I7" s="16"/>
      <c r="J7" s="18"/>
    </row>
    <row r="8" spans="1:10" x14ac:dyDescent="0.3">
      <c r="A8" s="2"/>
      <c r="D8" s="16"/>
      <c r="E8" s="16"/>
      <c r="F8" s="17"/>
      <c r="G8" s="17"/>
      <c r="H8" s="16"/>
      <c r="I8" s="16"/>
      <c r="J8" s="18"/>
    </row>
    <row r="9" spans="1:10" x14ac:dyDescent="0.3">
      <c r="A9" t="s">
        <v>182</v>
      </c>
      <c r="D9" s="16"/>
      <c r="E9" s="16"/>
      <c r="F9" s="17"/>
      <c r="G9" s="17"/>
      <c r="H9" s="16"/>
      <c r="I9" s="16"/>
      <c r="J9" s="18"/>
    </row>
    <row r="10" spans="1:10" x14ac:dyDescent="0.3">
      <c r="A10" s="10"/>
      <c r="B10" s="10"/>
      <c r="D10" s="16"/>
      <c r="E10" s="16"/>
      <c r="F10" s="17"/>
      <c r="G10" s="17"/>
      <c r="H10" s="16"/>
      <c r="I10" s="16"/>
      <c r="J10" s="18"/>
    </row>
    <row r="11" spans="1:10" x14ac:dyDescent="0.3">
      <c r="A11" s="11" t="s">
        <v>172</v>
      </c>
      <c r="B11" s="11">
        <v>420</v>
      </c>
      <c r="D11" s="16"/>
      <c r="E11" s="16"/>
      <c r="F11" s="17"/>
      <c r="G11" s="17"/>
      <c r="H11" s="16"/>
      <c r="I11" s="16"/>
      <c r="J11" s="18"/>
    </row>
    <row r="12" spans="1:10" x14ac:dyDescent="0.3">
      <c r="A12" s="10"/>
      <c r="B12" s="10"/>
      <c r="D12" s="18"/>
      <c r="E12" s="18"/>
      <c r="F12" s="18"/>
      <c r="G12" s="18"/>
      <c r="H12" s="18"/>
      <c r="I12" s="18"/>
      <c r="J12" s="18"/>
    </row>
    <row r="13" spans="1:10" x14ac:dyDescent="0.3">
      <c r="A13" s="11" t="s">
        <v>174</v>
      </c>
      <c r="B13" s="11">
        <v>420</v>
      </c>
    </row>
    <row r="14" spans="1:10" x14ac:dyDescent="0.3">
      <c r="A14" s="11" t="s">
        <v>175</v>
      </c>
      <c r="B14" s="11">
        <v>420</v>
      </c>
    </row>
    <row r="15" spans="1:10" x14ac:dyDescent="0.3">
      <c r="A15" s="11" t="s">
        <v>176</v>
      </c>
      <c r="B15" s="11">
        <v>420.1</v>
      </c>
    </row>
    <row r="16" spans="1:10" x14ac:dyDescent="0.3">
      <c r="A16" s="11" t="s">
        <v>177</v>
      </c>
      <c r="B16" s="11">
        <v>436</v>
      </c>
    </row>
    <row r="17" spans="1:2" x14ac:dyDescent="0.3">
      <c r="A17" s="11" t="s">
        <v>178</v>
      </c>
      <c r="B17" s="11">
        <v>395.1</v>
      </c>
    </row>
    <row r="18" spans="1:2" x14ac:dyDescent="0.3">
      <c r="A18" s="11" t="s">
        <v>179</v>
      </c>
      <c r="B18" s="11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კან-პირი</vt:lpstr>
      <vt:lpstr>ტყის ზონა</vt:lpstr>
      <vt:lpstr>ვაკის ზონა</vt:lpstr>
      <vt:lpstr>წყაროს ზონა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nodar meskhi</cp:lastModifiedBy>
  <dcterms:created xsi:type="dcterms:W3CDTF">2026-03-09T13:35:15Z</dcterms:created>
  <dcterms:modified xsi:type="dcterms:W3CDTF">2026-03-14T11:32:31Z</dcterms:modified>
</cp:coreProperties>
</file>