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dar\OneDrive\Рабочий стол\"/>
    </mc:Choice>
  </mc:AlternateContent>
  <xr:revisionPtr revIDLastSave="0" documentId="13_ncr:1_{D5944455-9177-47CB-910A-FEC5D62433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კანიონი პირი" sheetId="1" r:id="rId1"/>
    <sheet name="ვაკის ზონ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2" l="1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34" i="2"/>
  <c r="S35" i="2"/>
  <c r="S50" i="2"/>
  <c r="R5" i="2"/>
  <c r="R6" i="2"/>
  <c r="R9" i="2"/>
  <c r="R10" i="2"/>
  <c r="R11" i="2"/>
  <c r="R12" i="2"/>
  <c r="R15" i="2"/>
  <c r="R16" i="2"/>
  <c r="R18" i="2"/>
  <c r="R20" i="2"/>
  <c r="R21" i="2"/>
  <c r="R22" i="2"/>
  <c r="R23" i="2"/>
  <c r="R24" i="2"/>
  <c r="R25" i="2"/>
  <c r="R26" i="2"/>
  <c r="R27" i="2"/>
  <c r="R28" i="2"/>
  <c r="R29" i="2"/>
  <c r="R30" i="2"/>
  <c r="R31" i="2"/>
  <c r="R34" i="2"/>
  <c r="R35" i="2"/>
  <c r="R36" i="2"/>
  <c r="R37" i="2"/>
  <c r="R38" i="2"/>
  <c r="R41" i="2"/>
  <c r="R42" i="2"/>
  <c r="R43" i="2"/>
  <c r="R45" i="2"/>
  <c r="R46" i="2"/>
  <c r="R50" i="2"/>
  <c r="Q4" i="2"/>
  <c r="S4" i="2" s="1"/>
  <c r="Q5" i="2"/>
  <c r="S5" i="2" s="1"/>
  <c r="Q6" i="2"/>
  <c r="S6" i="2" s="1"/>
  <c r="Q7" i="2"/>
  <c r="R7" i="2" s="1"/>
  <c r="Q8" i="2"/>
  <c r="R8" i="2" s="1"/>
  <c r="Q9" i="2"/>
  <c r="Q10" i="2"/>
  <c r="Q11" i="2"/>
  <c r="Q12" i="2"/>
  <c r="Q13" i="2"/>
  <c r="R13" i="2" s="1"/>
  <c r="Q14" i="2"/>
  <c r="R14" i="2" s="1"/>
  <c r="Q15" i="2"/>
  <c r="Q16" i="2"/>
  <c r="Q17" i="2"/>
  <c r="R17" i="2" s="1"/>
  <c r="Q18" i="2"/>
  <c r="Q19" i="2"/>
  <c r="R19" i="2" s="1"/>
  <c r="Q20" i="2"/>
  <c r="Q21" i="2"/>
  <c r="Q22" i="2"/>
  <c r="Q23" i="2"/>
  <c r="Q24" i="2"/>
  <c r="S24" i="2" s="1"/>
  <c r="Q25" i="2"/>
  <c r="S25" i="2" s="1"/>
  <c r="Q26" i="2"/>
  <c r="S26" i="2" s="1"/>
  <c r="Q27" i="2"/>
  <c r="S27" i="2" s="1"/>
  <c r="Q28" i="2"/>
  <c r="S28" i="2" s="1"/>
  <c r="Q29" i="2"/>
  <c r="S29" i="2" s="1"/>
  <c r="Q30" i="2"/>
  <c r="S30" i="2" s="1"/>
  <c r="Q31" i="2"/>
  <c r="S31" i="2" s="1"/>
  <c r="Q32" i="2"/>
  <c r="S32" i="2" s="1"/>
  <c r="Q33" i="2"/>
  <c r="R33" i="2" s="1"/>
  <c r="Q34" i="2"/>
  <c r="Q35" i="2"/>
  <c r="Q36" i="2"/>
  <c r="S36" i="2" s="1"/>
  <c r="Q37" i="2"/>
  <c r="S37" i="2" s="1"/>
  <c r="Q38" i="2"/>
  <c r="S38" i="2" s="1"/>
  <c r="Q39" i="2"/>
  <c r="R39" i="2" s="1"/>
  <c r="Q40" i="2"/>
  <c r="S40" i="2" s="1"/>
  <c r="Q41" i="2"/>
  <c r="S41" i="2" s="1"/>
  <c r="Q42" i="2"/>
  <c r="S42" i="2" s="1"/>
  <c r="Q43" i="2"/>
  <c r="S43" i="2" s="1"/>
  <c r="Q44" i="2"/>
  <c r="S44" i="2" s="1"/>
  <c r="Q45" i="2"/>
  <c r="S45" i="2" s="1"/>
  <c r="Q46" i="2"/>
  <c r="S46" i="2" s="1"/>
  <c r="Q47" i="2"/>
  <c r="S47" i="2" s="1"/>
  <c r="Q48" i="2"/>
  <c r="S48" i="2" s="1"/>
  <c r="Q49" i="2"/>
  <c r="S49" i="2" s="1"/>
  <c r="Q50" i="2"/>
  <c r="Q3" i="2"/>
  <c r="R3" i="2" s="1"/>
  <c r="AH7" i="2"/>
  <c r="AH8" i="2"/>
  <c r="AH9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6" i="2"/>
  <c r="AH27" i="2"/>
  <c r="AH28" i="2"/>
  <c r="AH29" i="2"/>
  <c r="AH30" i="2"/>
  <c r="AH31" i="2"/>
  <c r="AH32" i="2"/>
  <c r="AH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" i="2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3" i="1"/>
  <c r="AI4" i="1"/>
  <c r="AI15" i="1"/>
  <c r="AI20" i="1"/>
  <c r="AI21" i="1"/>
  <c r="AI22" i="1"/>
  <c r="AI23" i="1"/>
  <c r="AI24" i="1"/>
  <c r="AI25" i="1"/>
  <c r="AI26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2" i="1"/>
  <c r="AI44" i="1"/>
  <c r="AI46" i="1"/>
  <c r="AI3" i="1"/>
  <c r="N17" i="1"/>
  <c r="N32" i="1"/>
  <c r="N33" i="1"/>
  <c r="N34" i="1"/>
  <c r="N50" i="1"/>
  <c r="N3" i="1"/>
  <c r="AD12" i="1"/>
  <c r="AD14" i="1"/>
  <c r="AD15" i="1"/>
  <c r="AD16" i="1"/>
  <c r="AD17" i="1"/>
  <c r="AD44" i="1"/>
  <c r="AD46" i="1"/>
  <c r="AD3" i="1"/>
  <c r="S32" i="1"/>
  <c r="S34" i="1"/>
  <c r="Q4" i="1"/>
  <c r="Q5" i="1"/>
  <c r="Q6" i="1"/>
  <c r="Q7" i="1"/>
  <c r="Q8" i="1"/>
  <c r="Q9" i="1"/>
  <c r="Q10" i="1"/>
  <c r="Q11" i="1"/>
  <c r="R11" i="1" s="1"/>
  <c r="Q12" i="1"/>
  <c r="Q13" i="1"/>
  <c r="Q14" i="1"/>
  <c r="Q15" i="1"/>
  <c r="R15" i="1" s="1"/>
  <c r="Q16" i="1"/>
  <c r="Q17" i="1"/>
  <c r="Q18" i="1"/>
  <c r="R18" i="1" s="1"/>
  <c r="Q19" i="1"/>
  <c r="R19" i="1" s="1"/>
  <c r="Q20" i="1"/>
  <c r="Q21" i="1"/>
  <c r="Q22" i="1"/>
  <c r="Q23" i="1"/>
  <c r="Q24" i="1"/>
  <c r="Q25" i="1"/>
  <c r="R25" i="1" s="1"/>
  <c r="Q26" i="1"/>
  <c r="Q27" i="1"/>
  <c r="R27" i="1" s="1"/>
  <c r="Q28" i="1"/>
  <c r="Q29" i="1"/>
  <c r="Q30" i="1"/>
  <c r="Q31" i="1"/>
  <c r="R31" i="1" s="1"/>
  <c r="Q32" i="1"/>
  <c r="Q33" i="1"/>
  <c r="Q34" i="1"/>
  <c r="Q35" i="1"/>
  <c r="Q36" i="1"/>
  <c r="Q37" i="1"/>
  <c r="Q38" i="1"/>
  <c r="Q39" i="1"/>
  <c r="Q40" i="1"/>
  <c r="Q41" i="1"/>
  <c r="R41" i="1" s="1"/>
  <c r="Q42" i="1"/>
  <c r="Q43" i="1"/>
  <c r="R43" i="1" s="1"/>
  <c r="Q44" i="1"/>
  <c r="R44" i="1" s="1"/>
  <c r="Q45" i="1"/>
  <c r="Q46" i="1"/>
  <c r="Q47" i="1"/>
  <c r="Q48" i="1"/>
  <c r="Q49" i="1"/>
  <c r="Q50" i="1"/>
  <c r="Q3" i="1"/>
  <c r="AG8" i="2"/>
  <c r="AG30" i="2"/>
  <c r="AG31" i="2"/>
  <c r="X4" i="2"/>
  <c r="AG4" i="2" s="1"/>
  <c r="X5" i="2"/>
  <c r="AB5" i="2" s="1"/>
  <c r="X6" i="2"/>
  <c r="AB6" i="2" s="1"/>
  <c r="X7" i="2"/>
  <c r="AB7" i="2" s="1"/>
  <c r="X8" i="2"/>
  <c r="AB8" i="2" s="1"/>
  <c r="X9" i="2"/>
  <c r="AB9" i="2" s="1"/>
  <c r="X10" i="2"/>
  <c r="AB10" i="2" s="1"/>
  <c r="X11" i="2"/>
  <c r="AB11" i="2" s="1"/>
  <c r="X12" i="2"/>
  <c r="AG12" i="2" s="1"/>
  <c r="X13" i="2"/>
  <c r="AB13" i="2" s="1"/>
  <c r="X14" i="2"/>
  <c r="AG14" i="2" s="1"/>
  <c r="X15" i="2"/>
  <c r="AB15" i="2" s="1"/>
  <c r="X16" i="2"/>
  <c r="AB16" i="2" s="1"/>
  <c r="X17" i="2"/>
  <c r="AG17" i="2" s="1"/>
  <c r="X18" i="2"/>
  <c r="AB18" i="2" s="1"/>
  <c r="X19" i="2"/>
  <c r="AB19" i="2" s="1"/>
  <c r="X20" i="2"/>
  <c r="AG20" i="2" s="1"/>
  <c r="X21" i="2"/>
  <c r="AG21" i="2" s="1"/>
  <c r="X22" i="2"/>
  <c r="AG22" i="2" s="1"/>
  <c r="X23" i="2"/>
  <c r="AB23" i="2" s="1"/>
  <c r="X24" i="2"/>
  <c r="AB24" i="2" s="1"/>
  <c r="X25" i="2"/>
  <c r="AB25" i="2" s="1"/>
  <c r="X26" i="2"/>
  <c r="AB26" i="2" s="1"/>
  <c r="X27" i="2"/>
  <c r="AG27" i="2" s="1"/>
  <c r="X28" i="2"/>
  <c r="AG28" i="2" s="1"/>
  <c r="X29" i="2"/>
  <c r="AB29" i="2" s="1"/>
  <c r="X30" i="2"/>
  <c r="AB30" i="2" s="1"/>
  <c r="X31" i="2"/>
  <c r="AB31" i="2" s="1"/>
  <c r="X32" i="2"/>
  <c r="AB32" i="2" s="1"/>
  <c r="X33" i="2"/>
  <c r="AB33" i="2" s="1"/>
  <c r="X3" i="2"/>
  <c r="AB3" i="2" s="1"/>
  <c r="D4" i="2"/>
  <c r="H4" i="2" s="1"/>
  <c r="D5" i="2"/>
  <c r="H5" i="2" s="1"/>
  <c r="D6" i="2"/>
  <c r="H6" i="2" s="1"/>
  <c r="D7" i="2"/>
  <c r="H7" i="2" s="1"/>
  <c r="D8" i="2"/>
  <c r="H8" i="2" s="1"/>
  <c r="D9" i="2"/>
  <c r="H9" i="2" s="1"/>
  <c r="D10" i="2"/>
  <c r="H10" i="2" s="1"/>
  <c r="D11" i="2"/>
  <c r="H11" i="2" s="1"/>
  <c r="D12" i="2"/>
  <c r="H12" i="2" s="1"/>
  <c r="D13" i="2"/>
  <c r="M13" i="2" s="1"/>
  <c r="D14" i="2"/>
  <c r="H14" i="2" s="1"/>
  <c r="D15" i="2"/>
  <c r="H15" i="2" s="1"/>
  <c r="D16" i="2"/>
  <c r="H16" i="2" s="1"/>
  <c r="D17" i="2"/>
  <c r="H17" i="2" s="1"/>
  <c r="D18" i="2"/>
  <c r="H18" i="2" s="1"/>
  <c r="D19" i="2"/>
  <c r="H19" i="2" s="1"/>
  <c r="D20" i="2"/>
  <c r="H20" i="2" s="1"/>
  <c r="D21" i="2"/>
  <c r="H21" i="2" s="1"/>
  <c r="D22" i="2"/>
  <c r="H22" i="2" s="1"/>
  <c r="D23" i="2"/>
  <c r="H23" i="2" s="1"/>
  <c r="D24" i="2"/>
  <c r="H24" i="2" s="1"/>
  <c r="D25" i="2"/>
  <c r="H25" i="2" s="1"/>
  <c r="D26" i="2"/>
  <c r="H26" i="2" s="1"/>
  <c r="D27" i="2"/>
  <c r="H27" i="2" s="1"/>
  <c r="D28" i="2"/>
  <c r="H28" i="2" s="1"/>
  <c r="D29" i="2"/>
  <c r="M29" i="2" s="1"/>
  <c r="D30" i="2"/>
  <c r="M30" i="2" s="1"/>
  <c r="D31" i="2"/>
  <c r="M31" i="2" s="1"/>
  <c r="D32" i="2"/>
  <c r="M32" i="2" s="1"/>
  <c r="D33" i="2"/>
  <c r="H33" i="2" s="1"/>
  <c r="D34" i="2"/>
  <c r="H34" i="2" s="1"/>
  <c r="D35" i="2"/>
  <c r="H35" i="2" s="1"/>
  <c r="D36" i="2"/>
  <c r="H36" i="2" s="1"/>
  <c r="D37" i="2"/>
  <c r="H37" i="2" s="1"/>
  <c r="D38" i="2"/>
  <c r="H38" i="2" s="1"/>
  <c r="D39" i="2"/>
  <c r="H39" i="2" s="1"/>
  <c r="D40" i="2"/>
  <c r="H40" i="2" s="1"/>
  <c r="D41" i="2"/>
  <c r="H41" i="2" s="1"/>
  <c r="D42" i="2"/>
  <c r="H42" i="2" s="1"/>
  <c r="D43" i="2"/>
  <c r="H43" i="2" s="1"/>
  <c r="D44" i="2"/>
  <c r="H44" i="2" s="1"/>
  <c r="D45" i="2"/>
  <c r="H45" i="2" s="1"/>
  <c r="D46" i="2"/>
  <c r="M46" i="2" s="1"/>
  <c r="D47" i="2"/>
  <c r="M47" i="2" s="1"/>
  <c r="D48" i="2"/>
  <c r="M48" i="2" s="1"/>
  <c r="D49" i="2"/>
  <c r="H49" i="2" s="1"/>
  <c r="D50" i="2"/>
  <c r="H50" i="2" s="1"/>
  <c r="D3" i="2"/>
  <c r="M3" i="2" s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3" i="1"/>
  <c r="Y4" i="1"/>
  <c r="AH4" i="1" s="1"/>
  <c r="Y5" i="1"/>
  <c r="AD5" i="1" s="1"/>
  <c r="Y6" i="1"/>
  <c r="AD6" i="1" s="1"/>
  <c r="Y7" i="1"/>
  <c r="AD7" i="1" s="1"/>
  <c r="Y8" i="1"/>
  <c r="AD8" i="1" s="1"/>
  <c r="Y9" i="1"/>
  <c r="AD9" i="1" s="1"/>
  <c r="Y10" i="1"/>
  <c r="AD10" i="1" s="1"/>
  <c r="Y11" i="1"/>
  <c r="AD11" i="1" s="1"/>
  <c r="Y12" i="1"/>
  <c r="Y13" i="1"/>
  <c r="AD13" i="1" s="1"/>
  <c r="Y14" i="1"/>
  <c r="Y15" i="1"/>
  <c r="AH15" i="1" s="1"/>
  <c r="Y16" i="1"/>
  <c r="Y17" i="1"/>
  <c r="Y18" i="1"/>
  <c r="AD18" i="1" s="1"/>
  <c r="Y19" i="1"/>
  <c r="AD19" i="1" s="1"/>
  <c r="Y20" i="1"/>
  <c r="AH20" i="1" s="1"/>
  <c r="Y21" i="1"/>
  <c r="AH21" i="1" s="1"/>
  <c r="Y22" i="1"/>
  <c r="AH22" i="1" s="1"/>
  <c r="Y23" i="1"/>
  <c r="AH23" i="1" s="1"/>
  <c r="Y24" i="1"/>
  <c r="AH24" i="1" s="1"/>
  <c r="Y25" i="1"/>
  <c r="AH25" i="1" s="1"/>
  <c r="Y26" i="1"/>
  <c r="AH26" i="1" s="1"/>
  <c r="Y27" i="1"/>
  <c r="AD27" i="1" s="1"/>
  <c r="Y28" i="1"/>
  <c r="AH28" i="1" s="1"/>
  <c r="Y29" i="1"/>
  <c r="AH29" i="1" s="1"/>
  <c r="Y30" i="1"/>
  <c r="AH30" i="1" s="1"/>
  <c r="Y31" i="1"/>
  <c r="AH31" i="1" s="1"/>
  <c r="Y32" i="1"/>
  <c r="AH32" i="1" s="1"/>
  <c r="Y33" i="1"/>
  <c r="AH33" i="1" s="1"/>
  <c r="Y34" i="1"/>
  <c r="AH34" i="1" s="1"/>
  <c r="Y35" i="1"/>
  <c r="AH35" i="1" s="1"/>
  <c r="Y36" i="1"/>
  <c r="AH36" i="1" s="1"/>
  <c r="Y37" i="1"/>
  <c r="AH37" i="1" s="1"/>
  <c r="Y38" i="1"/>
  <c r="AH38" i="1" s="1"/>
  <c r="Y39" i="1"/>
  <c r="AH39" i="1" s="1"/>
  <c r="Y40" i="1"/>
  <c r="AD40" i="1" s="1"/>
  <c r="Y41" i="1"/>
  <c r="AD41" i="1" s="1"/>
  <c r="Y42" i="1"/>
  <c r="AH42" i="1" s="1"/>
  <c r="Y43" i="1"/>
  <c r="AD43" i="1" s="1"/>
  <c r="Y44" i="1"/>
  <c r="AH44" i="1" s="1"/>
  <c r="Y45" i="1"/>
  <c r="AD45" i="1" s="1"/>
  <c r="Y46" i="1"/>
  <c r="AH46" i="1" s="1"/>
  <c r="Y3" i="1"/>
  <c r="AH3" i="1" s="1"/>
  <c r="D4" i="1"/>
  <c r="H4" i="1" s="1"/>
  <c r="D5" i="1"/>
  <c r="H5" i="1" s="1"/>
  <c r="D6" i="1"/>
  <c r="H6" i="1" s="1"/>
  <c r="D7" i="1"/>
  <c r="H7" i="1" s="1"/>
  <c r="D8" i="1"/>
  <c r="H8" i="1" s="1"/>
  <c r="S8" i="1" s="1"/>
  <c r="D9" i="1"/>
  <c r="M9" i="1" s="1"/>
  <c r="D10" i="1"/>
  <c r="M10" i="1" s="1"/>
  <c r="D11" i="1"/>
  <c r="H11" i="1" s="1"/>
  <c r="D12" i="1"/>
  <c r="M12" i="1" s="1"/>
  <c r="D13" i="1"/>
  <c r="M13" i="1" s="1"/>
  <c r="D14" i="1"/>
  <c r="H14" i="1" s="1"/>
  <c r="R14" i="1" s="1"/>
  <c r="D15" i="1"/>
  <c r="H15" i="1" s="1"/>
  <c r="S15" i="1" s="1"/>
  <c r="D16" i="1"/>
  <c r="H16" i="1" s="1"/>
  <c r="S16" i="1" s="1"/>
  <c r="D17" i="1"/>
  <c r="H17" i="1" s="1"/>
  <c r="S17" i="1" s="1"/>
  <c r="D18" i="1"/>
  <c r="H18" i="1" s="1"/>
  <c r="S18" i="1" s="1"/>
  <c r="D19" i="1"/>
  <c r="H19" i="1" s="1"/>
  <c r="D20" i="1"/>
  <c r="H20" i="1" s="1"/>
  <c r="D21" i="1"/>
  <c r="H21" i="1" s="1"/>
  <c r="D22" i="1"/>
  <c r="M22" i="1" s="1"/>
  <c r="D23" i="1"/>
  <c r="H23" i="1" s="1"/>
  <c r="D24" i="1"/>
  <c r="H24" i="1" s="1"/>
  <c r="S24" i="1" s="1"/>
  <c r="D25" i="1"/>
  <c r="H25" i="1" s="1"/>
  <c r="D26" i="1"/>
  <c r="M26" i="1" s="1"/>
  <c r="D27" i="1"/>
  <c r="H27" i="1" s="1"/>
  <c r="D28" i="1"/>
  <c r="M28" i="1" s="1"/>
  <c r="D29" i="1"/>
  <c r="H29" i="1" s="1"/>
  <c r="D30" i="1"/>
  <c r="H30" i="1" s="1"/>
  <c r="R30" i="1" s="1"/>
  <c r="D31" i="1"/>
  <c r="H31" i="1" s="1"/>
  <c r="D32" i="1"/>
  <c r="H32" i="1" s="1"/>
  <c r="R32" i="1" s="1"/>
  <c r="D33" i="1"/>
  <c r="H33" i="1" s="1"/>
  <c r="S33" i="1" s="1"/>
  <c r="D34" i="1"/>
  <c r="H34" i="1" s="1"/>
  <c r="D35" i="1"/>
  <c r="H35" i="1" s="1"/>
  <c r="D36" i="1"/>
  <c r="H36" i="1" s="1"/>
  <c r="D37" i="1"/>
  <c r="H37" i="1" s="1"/>
  <c r="D38" i="1"/>
  <c r="H38" i="1" s="1"/>
  <c r="D39" i="1"/>
  <c r="H39" i="1" s="1"/>
  <c r="D40" i="1"/>
  <c r="H40" i="1" s="1"/>
  <c r="S40" i="1" s="1"/>
  <c r="D41" i="1"/>
  <c r="H41" i="1" s="1"/>
  <c r="D42" i="1"/>
  <c r="M42" i="1" s="1"/>
  <c r="D43" i="1"/>
  <c r="H43" i="1" s="1"/>
  <c r="D44" i="1"/>
  <c r="H44" i="1" s="1"/>
  <c r="D45" i="1"/>
  <c r="H45" i="1" s="1"/>
  <c r="D46" i="1"/>
  <c r="M46" i="1" s="1"/>
  <c r="D47" i="1"/>
  <c r="M47" i="1" s="1"/>
  <c r="D48" i="1"/>
  <c r="M48" i="1" s="1"/>
  <c r="D49" i="1"/>
  <c r="M49" i="1" s="1"/>
  <c r="D50" i="1"/>
  <c r="M50" i="1" s="1"/>
  <c r="D3" i="1"/>
  <c r="M3" i="1" s="1"/>
  <c r="R49" i="2" l="1"/>
  <c r="R48" i="2"/>
  <c r="R47" i="2"/>
  <c r="R44" i="2"/>
  <c r="R40" i="2"/>
  <c r="S39" i="2"/>
  <c r="R32" i="2"/>
  <c r="S33" i="2"/>
  <c r="S7" i="2"/>
  <c r="R4" i="2"/>
  <c r="S3" i="2"/>
  <c r="AI30" i="2"/>
  <c r="M34" i="2"/>
  <c r="M38" i="2"/>
  <c r="M39" i="2"/>
  <c r="O39" i="2" s="1"/>
  <c r="AB28" i="2"/>
  <c r="AI28" i="2" s="1"/>
  <c r="AI31" i="2"/>
  <c r="AB27" i="2"/>
  <c r="AG19" i="2"/>
  <c r="AI19" i="2" s="1"/>
  <c r="AB21" i="2"/>
  <c r="AI21" i="2" s="1"/>
  <c r="AB20" i="2"/>
  <c r="AI20" i="2" s="1"/>
  <c r="AI27" i="2"/>
  <c r="AG32" i="2"/>
  <c r="AI32" i="2" s="1"/>
  <c r="AG29" i="2"/>
  <c r="AI29" i="2" s="1"/>
  <c r="M41" i="2"/>
  <c r="O41" i="2" s="1"/>
  <c r="M40" i="2"/>
  <c r="O40" i="2" s="1"/>
  <c r="AG26" i="2"/>
  <c r="AI26" i="2" s="1"/>
  <c r="M28" i="2"/>
  <c r="O28" i="2" s="1"/>
  <c r="AB17" i="2"/>
  <c r="AI17" i="2" s="1"/>
  <c r="M45" i="2"/>
  <c r="O45" i="2" s="1"/>
  <c r="M27" i="2"/>
  <c r="O27" i="2" s="1"/>
  <c r="H46" i="2"/>
  <c r="O46" i="2" s="1"/>
  <c r="M26" i="2"/>
  <c r="AB14" i="2"/>
  <c r="AI14" i="2" s="1"/>
  <c r="AG15" i="2"/>
  <c r="AI15" i="2" s="1"/>
  <c r="O26" i="2"/>
  <c r="O34" i="2"/>
  <c r="H30" i="2"/>
  <c r="O30" i="2" s="1"/>
  <c r="M25" i="2"/>
  <c r="O25" i="2" s="1"/>
  <c r="AB12" i="2"/>
  <c r="AI12" i="2" s="1"/>
  <c r="AG18" i="2"/>
  <c r="AI18" i="2" s="1"/>
  <c r="O20" i="2"/>
  <c r="AI8" i="2"/>
  <c r="M24" i="2"/>
  <c r="O24" i="2" s="1"/>
  <c r="AG13" i="2"/>
  <c r="AI13" i="2" s="1"/>
  <c r="AG16" i="2"/>
  <c r="AI16" i="2" s="1"/>
  <c r="H13" i="2"/>
  <c r="O13" i="2" s="1"/>
  <c r="M21" i="2"/>
  <c r="O21" i="2" s="1"/>
  <c r="M44" i="2"/>
  <c r="O44" i="2" s="1"/>
  <c r="M43" i="2"/>
  <c r="O43" i="2" s="1"/>
  <c r="O38" i="2"/>
  <c r="M20" i="2"/>
  <c r="AB4" i="2"/>
  <c r="AI4" i="2" s="1"/>
  <c r="AG9" i="2"/>
  <c r="AI9" i="2" s="1"/>
  <c r="AB22" i="2"/>
  <c r="AI22" i="2" s="1"/>
  <c r="H32" i="2"/>
  <c r="O32" i="2" s="1"/>
  <c r="M14" i="2"/>
  <c r="O14" i="2" s="1"/>
  <c r="M37" i="2"/>
  <c r="O37" i="2" s="1"/>
  <c r="H48" i="2"/>
  <c r="O48" i="2" s="1"/>
  <c r="M35" i="2"/>
  <c r="O35" i="2" s="1"/>
  <c r="AG7" i="2"/>
  <c r="AI7" i="2" s="1"/>
  <c r="H47" i="2"/>
  <c r="O47" i="2" s="1"/>
  <c r="M33" i="2"/>
  <c r="O33" i="2" s="1"/>
  <c r="AG24" i="2"/>
  <c r="AI24" i="2" s="1"/>
  <c r="H31" i="2"/>
  <c r="O31" i="2" s="1"/>
  <c r="H29" i="2"/>
  <c r="O29" i="2" s="1"/>
  <c r="AG23" i="2"/>
  <c r="AI23" i="2" s="1"/>
  <c r="H3" i="2"/>
  <c r="O3" i="2" s="1"/>
  <c r="S44" i="1"/>
  <c r="N31" i="1"/>
  <c r="R45" i="1"/>
  <c r="N28" i="1"/>
  <c r="R40" i="1"/>
  <c r="R24" i="1"/>
  <c r="R8" i="1"/>
  <c r="N26" i="1"/>
  <c r="S11" i="1"/>
  <c r="N22" i="1"/>
  <c r="S14" i="1"/>
  <c r="R37" i="1"/>
  <c r="R21" i="1"/>
  <c r="R5" i="1"/>
  <c r="AD34" i="1"/>
  <c r="N49" i="1"/>
  <c r="N14" i="1"/>
  <c r="S38" i="1"/>
  <c r="S6" i="1"/>
  <c r="R36" i="1"/>
  <c r="R20" i="1"/>
  <c r="R4" i="1"/>
  <c r="AD33" i="1"/>
  <c r="N48" i="1"/>
  <c r="N13" i="1"/>
  <c r="S25" i="1"/>
  <c r="S35" i="1"/>
  <c r="R33" i="1"/>
  <c r="AD32" i="1"/>
  <c r="N47" i="1"/>
  <c r="N12" i="1"/>
  <c r="R34" i="1"/>
  <c r="AD31" i="1"/>
  <c r="N46" i="1"/>
  <c r="N10" i="1"/>
  <c r="R17" i="1"/>
  <c r="AD30" i="1"/>
  <c r="N44" i="1"/>
  <c r="N9" i="1"/>
  <c r="S29" i="1"/>
  <c r="S43" i="1"/>
  <c r="R16" i="1"/>
  <c r="AD28" i="1"/>
  <c r="N42" i="1"/>
  <c r="N8" i="1"/>
  <c r="S39" i="1"/>
  <c r="S31" i="1"/>
  <c r="N41" i="1"/>
  <c r="N5" i="1"/>
  <c r="S27" i="1"/>
  <c r="N36" i="1"/>
  <c r="N4" i="1"/>
  <c r="S45" i="1"/>
  <c r="AD35" i="1"/>
  <c r="R29" i="1"/>
  <c r="R38" i="1"/>
  <c r="R6" i="1"/>
  <c r="AD29" i="1"/>
  <c r="S5" i="1"/>
  <c r="S30" i="1"/>
  <c r="AD42" i="1"/>
  <c r="S41" i="1"/>
  <c r="AD26" i="1"/>
  <c r="S36" i="1"/>
  <c r="S20" i="1"/>
  <c r="S4" i="1"/>
  <c r="AD25" i="1"/>
  <c r="S19" i="1"/>
  <c r="AD24" i="1"/>
  <c r="S23" i="1"/>
  <c r="AD39" i="1"/>
  <c r="AD23" i="1"/>
  <c r="AD22" i="1"/>
  <c r="R7" i="1"/>
  <c r="S37" i="1"/>
  <c r="AD38" i="1"/>
  <c r="R35" i="1"/>
  <c r="AD37" i="1"/>
  <c r="AD21" i="1"/>
  <c r="S21" i="1"/>
  <c r="AD36" i="1"/>
  <c r="AD20" i="1"/>
  <c r="AD4" i="1"/>
  <c r="S7" i="1"/>
  <c r="R39" i="1"/>
  <c r="R23" i="1"/>
  <c r="AJ42" i="1"/>
  <c r="I3" i="1"/>
  <c r="I50" i="1"/>
  <c r="AJ35" i="1"/>
  <c r="AJ33" i="1"/>
  <c r="I49" i="1"/>
  <c r="I48" i="1"/>
  <c r="I35" i="1"/>
  <c r="I34" i="1"/>
  <c r="I33" i="1"/>
  <c r="I32" i="1"/>
  <c r="I29" i="1"/>
  <c r="I19" i="1"/>
  <c r="I18" i="1"/>
  <c r="I17" i="1"/>
  <c r="I16" i="1"/>
  <c r="I15" i="1"/>
  <c r="I47" i="1"/>
  <c r="I31" i="1"/>
  <c r="I46" i="1"/>
  <c r="I30" i="1"/>
  <c r="I14" i="1"/>
  <c r="I45" i="1"/>
  <c r="I13" i="1"/>
  <c r="I44" i="1"/>
  <c r="I28" i="1"/>
  <c r="I12" i="1"/>
  <c r="I43" i="1"/>
  <c r="I27" i="1"/>
  <c r="I11" i="1"/>
  <c r="I42" i="1"/>
  <c r="I26" i="1"/>
  <c r="I10" i="1"/>
  <c r="I41" i="1"/>
  <c r="I25" i="1"/>
  <c r="I9" i="1"/>
  <c r="I40" i="1"/>
  <c r="I24" i="1"/>
  <c r="I8" i="1"/>
  <c r="I39" i="1"/>
  <c r="I23" i="1"/>
  <c r="I7" i="1"/>
  <c r="I38" i="1"/>
  <c r="I22" i="1"/>
  <c r="I6" i="1"/>
  <c r="AJ37" i="1"/>
  <c r="I37" i="1"/>
  <c r="I21" i="1"/>
  <c r="I5" i="1"/>
  <c r="AJ36" i="1"/>
  <c r="AJ20" i="1"/>
  <c r="AJ4" i="1"/>
  <c r="I36" i="1"/>
  <c r="I20" i="1"/>
  <c r="I4" i="1"/>
  <c r="M8" i="1"/>
  <c r="AJ44" i="1"/>
  <c r="AJ26" i="1"/>
  <c r="AJ25" i="1"/>
  <c r="AJ24" i="1"/>
  <c r="AJ23" i="1"/>
  <c r="AJ22" i="1"/>
  <c r="AJ21" i="1"/>
  <c r="AJ39" i="1"/>
  <c r="H9" i="1"/>
  <c r="AJ32" i="1"/>
  <c r="AJ38" i="1"/>
  <c r="AJ15" i="1"/>
  <c r="M41" i="1"/>
  <c r="O41" i="1" s="1"/>
  <c r="AJ34" i="1"/>
  <c r="AJ3" i="1"/>
  <c r="AJ31" i="1"/>
  <c r="AJ46" i="1"/>
  <c r="AJ30" i="1"/>
  <c r="AJ29" i="1"/>
  <c r="AJ28" i="1"/>
  <c r="H42" i="1"/>
  <c r="M5" i="1"/>
  <c r="O5" i="1" s="1"/>
  <c r="M4" i="1"/>
  <c r="O4" i="1" s="1"/>
  <c r="M36" i="1"/>
  <c r="O36" i="1" s="1"/>
  <c r="M34" i="1"/>
  <c r="O34" i="1" s="1"/>
  <c r="M32" i="1"/>
  <c r="O32" i="1" s="1"/>
  <c r="M31" i="1"/>
  <c r="O31" i="1" s="1"/>
  <c r="M17" i="1"/>
  <c r="O17" i="1" s="1"/>
  <c r="M14" i="1"/>
  <c r="O14" i="1" s="1"/>
  <c r="M44" i="1"/>
  <c r="O44" i="1" s="1"/>
  <c r="H12" i="1"/>
  <c r="M33" i="1"/>
  <c r="O33" i="1" s="1"/>
  <c r="O8" i="1"/>
  <c r="H13" i="1"/>
  <c r="H28" i="1"/>
  <c r="H26" i="1"/>
  <c r="H22" i="1"/>
  <c r="H3" i="1"/>
  <c r="O3" i="1" s="1"/>
  <c r="H50" i="1"/>
  <c r="H49" i="1"/>
  <c r="H48" i="1"/>
  <c r="H47" i="1"/>
  <c r="H10" i="1"/>
  <c r="H46" i="1"/>
  <c r="R3" i="1" l="1"/>
  <c r="O12" i="1"/>
  <c r="R12" i="1"/>
  <c r="S12" i="1"/>
  <c r="O46" i="1"/>
  <c r="S46" i="1"/>
  <c r="R46" i="1"/>
  <c r="O13" i="1"/>
  <c r="R13" i="1"/>
  <c r="S13" i="1"/>
  <c r="O47" i="1"/>
  <c r="S47" i="1"/>
  <c r="R47" i="1"/>
  <c r="O9" i="1"/>
  <c r="R9" i="1"/>
  <c r="S9" i="1"/>
  <c r="O50" i="1"/>
  <c r="R50" i="1"/>
  <c r="S50" i="1"/>
  <c r="O22" i="1"/>
  <c r="S22" i="1"/>
  <c r="O48" i="1"/>
  <c r="R48" i="1"/>
  <c r="S48" i="1"/>
  <c r="O49" i="1"/>
  <c r="R49" i="1"/>
  <c r="S49" i="1"/>
  <c r="O42" i="1"/>
  <c r="R42" i="1"/>
  <c r="S42" i="1"/>
  <c r="S3" i="1"/>
  <c r="O10" i="1"/>
  <c r="S10" i="1"/>
  <c r="R10" i="1"/>
  <c r="O26" i="1"/>
  <c r="R26" i="1"/>
  <c r="S26" i="1"/>
  <c r="O28" i="1"/>
  <c r="R28" i="1"/>
  <c r="S28" i="1"/>
  <c r="R22" i="1"/>
</calcChain>
</file>

<file path=xl/sharedStrings.xml><?xml version="1.0" encoding="utf-8"?>
<sst xmlns="http://schemas.openxmlformats.org/spreadsheetml/2006/main" count="593" uniqueCount="207">
  <si>
    <t>ნაკვეთის კოდი</t>
  </si>
  <si>
    <t>ნაკვეთის ფართობი (მ2)</t>
  </si>
  <si>
    <t>სახლის სტილი</t>
  </si>
  <si>
    <t>სახლის ფართი (მ2)</t>
  </si>
  <si>
    <t>მშენებლობის ფასი ($1700)</t>
  </si>
  <si>
    <t>ალტერნატიული შეთავაზება</t>
  </si>
  <si>
    <t>LA-1</t>
  </si>
  <si>
    <t>LA-3</t>
  </si>
  <si>
    <t>LA-5</t>
  </si>
  <si>
    <t>LA-7</t>
  </si>
  <si>
    <t>LA-9</t>
  </si>
  <si>
    <t>LA-11</t>
  </si>
  <si>
    <t>LA-13</t>
  </si>
  <si>
    <t>LA-15</t>
  </si>
  <si>
    <t>LA-17</t>
  </si>
  <si>
    <t>LA-19</t>
  </si>
  <si>
    <t>LA-21</t>
  </si>
  <si>
    <t>LA-23</t>
  </si>
  <si>
    <t>LA-25</t>
  </si>
  <si>
    <t>LA-27</t>
  </si>
  <si>
    <t>LA-29</t>
  </si>
  <si>
    <t>LA-31</t>
  </si>
  <si>
    <t>LA-33</t>
  </si>
  <si>
    <t>LA-35</t>
  </si>
  <si>
    <t>LA-37</t>
  </si>
  <si>
    <t>LA-39</t>
  </si>
  <si>
    <t>LA-41</t>
  </si>
  <si>
    <t>LA-43</t>
  </si>
  <si>
    <t>LA-45</t>
  </si>
  <si>
    <t>LA-47</t>
  </si>
  <si>
    <t>LA-49</t>
  </si>
  <si>
    <t>LA-51</t>
  </si>
  <si>
    <t>LA-53</t>
  </si>
  <si>
    <t>LA-55</t>
  </si>
  <si>
    <t>LA-57</t>
  </si>
  <si>
    <t>LA-59</t>
  </si>
  <si>
    <t>LA-61</t>
  </si>
  <si>
    <t>LA-63</t>
  </si>
  <si>
    <t>LA-65</t>
  </si>
  <si>
    <t>LA-67</t>
  </si>
  <si>
    <t>LA-69</t>
  </si>
  <si>
    <t>LA-71</t>
  </si>
  <si>
    <t>LA-73</t>
  </si>
  <si>
    <t>LA-75</t>
  </si>
  <si>
    <t>LA-77</t>
  </si>
  <si>
    <t>LA-79</t>
  </si>
  <si>
    <t>LA-81</t>
  </si>
  <si>
    <t>LA-83</t>
  </si>
  <si>
    <t>LA-85</t>
  </si>
  <si>
    <t>LA-87</t>
  </si>
  <si>
    <t>LA-89</t>
  </si>
  <si>
    <t>LA-91</t>
  </si>
  <si>
    <t>LA-93</t>
  </si>
  <si>
    <t>LA-95</t>
  </si>
  <si>
    <t>LB-1</t>
  </si>
  <si>
    <t>LB-3</t>
  </si>
  <si>
    <t>LB-5</t>
  </si>
  <si>
    <t>LB-7</t>
  </si>
  <si>
    <t>LB-9</t>
  </si>
  <si>
    <t>LB-11</t>
  </si>
  <si>
    <t>LB-13</t>
  </si>
  <si>
    <t>LB-15</t>
  </si>
  <si>
    <t>LB-17</t>
  </si>
  <si>
    <t>LB-19</t>
  </si>
  <si>
    <t>LB-21</t>
  </si>
  <si>
    <t>LB-23</t>
  </si>
  <si>
    <t>LB-25</t>
  </si>
  <si>
    <t>LC-1</t>
  </si>
  <si>
    <t>LC-3</t>
  </si>
  <si>
    <t>LC-5</t>
  </si>
  <si>
    <t>LC-7</t>
  </si>
  <si>
    <t>LC-9</t>
  </si>
  <si>
    <t>LC-11</t>
  </si>
  <si>
    <t>LC-13</t>
  </si>
  <si>
    <t>LC-15</t>
  </si>
  <si>
    <t>LC-17</t>
  </si>
  <si>
    <t>LC-19</t>
  </si>
  <si>
    <t>LC-21</t>
  </si>
  <si>
    <t>LC-23</t>
  </si>
  <si>
    <t>LC-25</t>
  </si>
  <si>
    <t>LC-27</t>
  </si>
  <si>
    <t>LC-29</t>
  </si>
  <si>
    <t>LC-31</t>
  </si>
  <si>
    <t>LC-33</t>
  </si>
  <si>
    <t>LC-35</t>
  </si>
  <si>
    <t>LC-37</t>
  </si>
  <si>
    <t>LC-39</t>
  </si>
  <si>
    <t>LC-41</t>
  </si>
  <si>
    <t>LC-43</t>
  </si>
  <si>
    <t>LC-45</t>
  </si>
  <si>
    <t>LC-47</t>
  </si>
  <si>
    <t>LC-49</t>
  </si>
  <si>
    <t>LC-51</t>
  </si>
  <si>
    <t>LC-53</t>
  </si>
  <si>
    <t>LC-55</t>
  </si>
  <si>
    <t>LC-57</t>
  </si>
  <si>
    <t>LC-59</t>
  </si>
  <si>
    <t>LC-61</t>
  </si>
  <si>
    <t>LC-63</t>
  </si>
  <si>
    <t>LC-65</t>
  </si>
  <si>
    <t>LD-1</t>
  </si>
  <si>
    <t>LD-3</t>
  </si>
  <si>
    <t>Modern Flat-Roof</t>
  </si>
  <si>
    <t>Barnhouse</t>
  </si>
  <si>
    <t>A-Frame</t>
  </si>
  <si>
    <t>Barn_115</t>
  </si>
  <si>
    <t>Barn_85</t>
  </si>
  <si>
    <t>A_55</t>
  </si>
  <si>
    <t>Barn_157</t>
  </si>
  <si>
    <t>2 x Barn_55 (მაღალი ამონაგები)</t>
  </si>
  <si>
    <t>Modern Flat-Roof (პრემიუმ დიზაინი)</t>
  </si>
  <si>
    <t>A_55 (ეკონომ არჩევანი)</t>
  </si>
  <si>
    <t>Barnhouse (კომფორტისთვის)</t>
  </si>
  <si>
    <t>LA-2</t>
  </si>
  <si>
    <t>LA-4</t>
  </si>
  <si>
    <t>LA-6</t>
  </si>
  <si>
    <t>LA-8</t>
  </si>
  <si>
    <t>LA-10</t>
  </si>
  <si>
    <t>LA-12</t>
  </si>
  <si>
    <t>LA-14</t>
  </si>
  <si>
    <t>LA-16</t>
  </si>
  <si>
    <t>LA-18</t>
  </si>
  <si>
    <t>LA-20</t>
  </si>
  <si>
    <t>LA-22</t>
  </si>
  <si>
    <t>LA-24</t>
  </si>
  <si>
    <t>LA-26</t>
  </si>
  <si>
    <t>LA-28</t>
  </si>
  <si>
    <t>LA-30</t>
  </si>
  <si>
    <t>LA-32</t>
  </si>
  <si>
    <t>LA-34</t>
  </si>
  <si>
    <t>LA-36</t>
  </si>
  <si>
    <t>LA-38</t>
  </si>
  <si>
    <t>LA-40</t>
  </si>
  <si>
    <t>LA-42</t>
  </si>
  <si>
    <t>LA-44</t>
  </si>
  <si>
    <t>LA-46</t>
  </si>
  <si>
    <t>LA-48</t>
  </si>
  <si>
    <t>LA-50</t>
  </si>
  <si>
    <t>LA-52</t>
  </si>
  <si>
    <t>LA-54</t>
  </si>
  <si>
    <t>LA-56</t>
  </si>
  <si>
    <t>LA-58</t>
  </si>
  <si>
    <t>LA-60</t>
  </si>
  <si>
    <t>LA-62</t>
  </si>
  <si>
    <t>LA-64</t>
  </si>
  <si>
    <t>LA-66</t>
  </si>
  <si>
    <t>LA-68</t>
  </si>
  <si>
    <t>LA-70</t>
  </si>
  <si>
    <t>LA-72</t>
  </si>
  <si>
    <t>LA-74</t>
  </si>
  <si>
    <t>LA-76</t>
  </si>
  <si>
    <t>LA-78</t>
  </si>
  <si>
    <t>LA-80</t>
  </si>
  <si>
    <t>LA-82</t>
  </si>
  <si>
    <t>LA-84</t>
  </si>
  <si>
    <t>LA-86</t>
  </si>
  <si>
    <t>LA-88</t>
  </si>
  <si>
    <t>LB-2</t>
  </si>
  <si>
    <t>LB-4</t>
  </si>
  <si>
    <t>LB-6</t>
  </si>
  <si>
    <t>LB-8</t>
  </si>
  <si>
    <t>LB-10</t>
  </si>
  <si>
    <t>LB-12</t>
  </si>
  <si>
    <t>LB-14</t>
  </si>
  <si>
    <t>LB-16</t>
  </si>
  <si>
    <t>LC-2</t>
  </si>
  <si>
    <t>LC-4</t>
  </si>
  <si>
    <t>LC-6</t>
  </si>
  <si>
    <t>LC-8</t>
  </si>
  <si>
    <t>LC-10</t>
  </si>
  <si>
    <t>LC-12</t>
  </si>
  <si>
    <t>LC-14</t>
  </si>
  <si>
    <t>LC-16</t>
  </si>
  <si>
    <t>LC-18</t>
  </si>
  <si>
    <t>LC-20</t>
  </si>
  <si>
    <t>LC-22</t>
  </si>
  <si>
    <t>LC-24</t>
  </si>
  <si>
    <t>LC-26</t>
  </si>
  <si>
    <t>LC-28</t>
  </si>
  <si>
    <t>LC-30</t>
  </si>
  <si>
    <t>LC-32</t>
  </si>
  <si>
    <t>LD-2</t>
  </si>
  <si>
    <t>LD-4</t>
  </si>
  <si>
    <t>LD-6</t>
  </si>
  <si>
    <t>LD-8</t>
  </si>
  <si>
    <t>LD-10</t>
  </si>
  <si>
    <t>LD-12</t>
  </si>
  <si>
    <t>LD-14</t>
  </si>
  <si>
    <t>Barn_55</t>
  </si>
  <si>
    <t>A-Frame (ინვესტიციისთვის)</t>
  </si>
  <si>
    <t>მიწის 1მ2 ფასი</t>
  </si>
  <si>
    <t>მიწის ღირებულება $</t>
  </si>
  <si>
    <t>შენობის მ2</t>
  </si>
  <si>
    <t>შენობის ფასი</t>
  </si>
  <si>
    <t>საინვესტიცო ღირებულება</t>
  </si>
  <si>
    <t>სხვაობა</t>
  </si>
  <si>
    <t>პირველი ზოლი</t>
  </si>
  <si>
    <t>მეორე ზოლი</t>
  </si>
  <si>
    <t>მესამე ზოლი</t>
  </si>
  <si>
    <t>მეოთხე ზოლი</t>
  </si>
  <si>
    <t>სამომავლო ფასი ($2200)</t>
  </si>
  <si>
    <t>დღიური ფასი ($)</t>
  </si>
  <si>
    <t>პეს-რიწლიური წმინდა მოგება</t>
  </si>
  <si>
    <t>პესიმისტური Rental ROI %</t>
  </si>
  <si>
    <t>პესიმისტურიუკუგება (წელი)</t>
  </si>
  <si>
    <t xml:space="preserve">Modern Flat-Roof </t>
  </si>
  <si>
    <t xml:space="preserve">Barnhouse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</si>
</sst>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b/>
      <sz val="11"/>
      <color theme="1"/>
      <name val="Sylfaen"/>
      <family val="1"/>
      <scheme val="minor"/>
    </font>
    <font>
      <b/>
      <sz val="14"/>
      <color rgb="FFFF0000"/>
      <name val="Sylfaen"/>
      <family val="1"/>
      <scheme val="minor"/>
    </font>
    <font>
      <sz val="11"/>
      <color rgb="FFFF0000"/>
      <name val="Sylfaen"/>
      <family val="1"/>
      <scheme val="minor"/>
    </font>
    <font>
      <b/>
      <sz val="11"/>
      <color theme="3" tint="0.39997558519241921"/>
      <name val="Sylfaen"/>
      <family val="1"/>
      <scheme val="minor"/>
    </font>
    <font>
      <b/>
      <sz val="14"/>
      <color theme="3" tint="0.39997558519241921"/>
      <name val="Sylfaen"/>
      <family val="1"/>
      <scheme val="minor"/>
    </font>
    <font>
      <sz val="8"/>
      <name val="Sylfaen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"/>
  <sheetViews>
    <sheetView topLeftCell="V1" zoomScaleNormal="100" workbookViewId="0">
      <selection activeCell="A2" sqref="A2:S2"/>
    </sheetView>
  </sheetViews>
  <sheetFormatPr defaultRowHeight="14.4" x14ac:dyDescent="0.3"/>
  <cols>
    <col min="1" max="1" width="7.44140625" style="3" customWidth="1"/>
    <col min="2" max="2" width="7.33203125" style="3" customWidth="1"/>
    <col min="3" max="4" width="8" style="3" customWidth="1"/>
    <col min="5" max="5" width="8.6640625" style="3" customWidth="1"/>
    <col min="6" max="6" width="8" style="3" customWidth="1"/>
    <col min="7" max="7" width="10.109375" style="3" customWidth="1"/>
    <col min="8" max="9" width="10.33203125" style="3" customWidth="1"/>
    <col min="10" max="10" width="31.21875" style="3" customWidth="1"/>
    <col min="11" max="11" width="8" style="3" customWidth="1"/>
    <col min="12" max="12" width="6.6640625" style="3" customWidth="1"/>
    <col min="13" max="14" width="8" style="3" customWidth="1"/>
    <col min="15" max="19" width="9.109375" style="3" customWidth="1"/>
    <col min="20" max="20" width="5.21875" customWidth="1"/>
    <col min="21" max="21" width="3.88671875" customWidth="1"/>
    <col min="25" max="25" width="10.77734375" customWidth="1"/>
    <col min="31" max="31" width="34.21875" customWidth="1"/>
    <col min="38" max="38" width="11" bestFit="1" customWidth="1"/>
  </cols>
  <sheetData>
    <row r="1" spans="1:40" ht="24" customHeight="1" x14ac:dyDescent="0.4">
      <c r="E1" s="5" t="s">
        <v>196</v>
      </c>
      <c r="F1" s="5"/>
      <c r="G1" s="5"/>
      <c r="H1" s="5"/>
      <c r="I1" s="5"/>
      <c r="J1" s="5"/>
      <c r="Y1" s="5" t="s">
        <v>197</v>
      </c>
      <c r="Z1" s="6"/>
      <c r="AA1" s="6"/>
      <c r="AB1" s="6"/>
      <c r="AC1" s="6"/>
      <c r="AD1" s="6"/>
      <c r="AE1" s="6"/>
    </row>
    <row r="2" spans="1:40" ht="75" customHeight="1" x14ac:dyDescent="0.3">
      <c r="A2" s="2" t="s">
        <v>0</v>
      </c>
      <c r="B2" s="2" t="s">
        <v>1</v>
      </c>
      <c r="C2" s="14" t="s">
        <v>190</v>
      </c>
      <c r="D2" s="14" t="s">
        <v>191</v>
      </c>
      <c r="E2" s="2" t="s">
        <v>2</v>
      </c>
      <c r="F2" s="2" t="s">
        <v>3</v>
      </c>
      <c r="G2" s="2" t="s">
        <v>4</v>
      </c>
      <c r="H2" s="14" t="s">
        <v>194</v>
      </c>
      <c r="I2" s="2" t="s">
        <v>200</v>
      </c>
      <c r="J2" s="2" t="s">
        <v>5</v>
      </c>
      <c r="K2" s="14" t="s">
        <v>192</v>
      </c>
      <c r="L2" s="14" t="s">
        <v>193</v>
      </c>
      <c r="M2" s="14" t="s">
        <v>194</v>
      </c>
      <c r="N2" s="2" t="s">
        <v>200</v>
      </c>
      <c r="O2" s="14" t="s">
        <v>195</v>
      </c>
      <c r="P2" s="2" t="s">
        <v>201</v>
      </c>
      <c r="Q2" s="2" t="s">
        <v>202</v>
      </c>
      <c r="R2" s="2" t="s">
        <v>203</v>
      </c>
      <c r="S2" s="2" t="s">
        <v>204</v>
      </c>
      <c r="T2" s="15"/>
      <c r="U2" s="16"/>
      <c r="V2" s="2" t="s">
        <v>0</v>
      </c>
      <c r="W2" s="2" t="s">
        <v>1</v>
      </c>
      <c r="X2" s="14" t="s">
        <v>190</v>
      </c>
      <c r="Y2" s="14" t="s">
        <v>191</v>
      </c>
      <c r="Z2" s="2" t="s">
        <v>2</v>
      </c>
      <c r="AA2" s="2" t="s">
        <v>3</v>
      </c>
      <c r="AB2" s="2" t="s">
        <v>4</v>
      </c>
      <c r="AC2" s="14" t="s">
        <v>194</v>
      </c>
      <c r="AD2" s="2" t="s">
        <v>200</v>
      </c>
      <c r="AE2" s="2" t="s">
        <v>5</v>
      </c>
      <c r="AF2" s="14" t="s">
        <v>192</v>
      </c>
      <c r="AG2" s="14" t="s">
        <v>193</v>
      </c>
      <c r="AH2" s="14" t="s">
        <v>194</v>
      </c>
      <c r="AI2" s="2" t="s">
        <v>200</v>
      </c>
      <c r="AJ2" s="14" t="s">
        <v>195</v>
      </c>
      <c r="AK2" s="2" t="s">
        <v>201</v>
      </c>
      <c r="AL2" s="2" t="s">
        <v>202</v>
      </c>
      <c r="AM2" s="2" t="s">
        <v>203</v>
      </c>
      <c r="AN2" s="2" t="s">
        <v>204</v>
      </c>
    </row>
    <row r="3" spans="1:40" x14ac:dyDescent="0.3">
      <c r="A3" s="3" t="s">
        <v>6</v>
      </c>
      <c r="B3" s="3">
        <v>702.4</v>
      </c>
      <c r="C3" s="3">
        <v>120</v>
      </c>
      <c r="D3" s="3">
        <f>C3*B3</f>
        <v>84288</v>
      </c>
      <c r="E3" s="3" t="s">
        <v>102</v>
      </c>
      <c r="F3" s="3">
        <v>156.69999999999999</v>
      </c>
      <c r="G3" s="3">
        <v>1700</v>
      </c>
      <c r="H3" s="3">
        <f>G3*F3+D3</f>
        <v>350678</v>
      </c>
      <c r="I3" s="3">
        <f>F3*2200+D3</f>
        <v>429028</v>
      </c>
      <c r="J3" s="3" t="s">
        <v>109</v>
      </c>
      <c r="K3" s="3">
        <v>110</v>
      </c>
      <c r="L3" s="3">
        <v>1800</v>
      </c>
      <c r="M3" s="3">
        <f>L3*K3+D3</f>
        <v>282288</v>
      </c>
      <c r="N3" s="3">
        <f>K3*2200+D3</f>
        <v>326288</v>
      </c>
      <c r="O3" s="3">
        <f>H3-M3</f>
        <v>68390</v>
      </c>
      <c r="P3">
        <v>300</v>
      </c>
      <c r="Q3" s="11">
        <f>(P3*365*0.45)*0.6</f>
        <v>29565</v>
      </c>
      <c r="R3" s="10">
        <f>(Q3/H3)*100</f>
        <v>8.4308111715020608</v>
      </c>
      <c r="S3" s="10">
        <f>H3/Q3</f>
        <v>11.861254862168105</v>
      </c>
      <c r="T3" s="1"/>
      <c r="V3" t="s">
        <v>113</v>
      </c>
      <c r="W3">
        <v>654.9</v>
      </c>
      <c r="X3">
        <v>100</v>
      </c>
      <c r="Y3">
        <f>X3*W3</f>
        <v>65490</v>
      </c>
      <c r="Z3" t="s">
        <v>108</v>
      </c>
      <c r="AA3">
        <v>156.69999999999999</v>
      </c>
      <c r="AB3">
        <v>1700</v>
      </c>
      <c r="AC3">
        <f>AB3*AA3</f>
        <v>266390</v>
      </c>
      <c r="AD3">
        <f>AA3*2200+Y3</f>
        <v>410230</v>
      </c>
      <c r="AE3" t="s">
        <v>109</v>
      </c>
      <c r="AF3">
        <v>110</v>
      </c>
      <c r="AG3">
        <v>1800</v>
      </c>
      <c r="AH3">
        <f>AG3*AF3+Y3</f>
        <v>263490</v>
      </c>
      <c r="AI3">
        <f>AF3*2200+Y3</f>
        <v>307490</v>
      </c>
      <c r="AJ3">
        <f>AC3-AH3</f>
        <v>2900</v>
      </c>
      <c r="AK3">
        <v>300</v>
      </c>
      <c r="AL3">
        <f>(AK3*365*0.45)*0.6</f>
        <v>29565</v>
      </c>
      <c r="AM3" s="12">
        <f>(AL3/AC3)*100</f>
        <v>11.098389579188408</v>
      </c>
      <c r="AN3" s="13">
        <f>AC3/AL3</f>
        <v>9.010316252325385</v>
      </c>
    </row>
    <row r="4" spans="1:40" x14ac:dyDescent="0.3">
      <c r="A4" s="3" t="s">
        <v>7</v>
      </c>
      <c r="B4" s="3">
        <v>683.2</v>
      </c>
      <c r="C4" s="3">
        <v>120</v>
      </c>
      <c r="D4" s="3">
        <f t="shared" ref="D4:D50" si="0">C4*B4</f>
        <v>81984</v>
      </c>
      <c r="E4" s="3" t="s">
        <v>102</v>
      </c>
      <c r="F4" s="3">
        <v>156.69999999999999</v>
      </c>
      <c r="G4" s="3">
        <v>1700</v>
      </c>
      <c r="H4" s="3">
        <f>G4*F4+D4</f>
        <v>348374</v>
      </c>
      <c r="I4" s="3">
        <f>F4*2200+D4</f>
        <v>426724</v>
      </c>
      <c r="J4" s="3" t="s">
        <v>109</v>
      </c>
      <c r="K4" s="3">
        <v>110</v>
      </c>
      <c r="L4" s="3">
        <v>1800</v>
      </c>
      <c r="M4" s="3">
        <f>L4*K4+D4</f>
        <v>279984</v>
      </c>
      <c r="N4" s="3">
        <f t="shared" ref="N4:N50" si="1">K4*2200+D4</f>
        <v>323984</v>
      </c>
      <c r="O4" s="3">
        <f t="shared" ref="O4:O50" si="2">H4-M4</f>
        <v>68390</v>
      </c>
      <c r="P4">
        <v>300</v>
      </c>
      <c r="Q4" s="11">
        <f t="shared" ref="Q4:Q50" si="3">(P4*365*0.45)*0.6</f>
        <v>29565</v>
      </c>
      <c r="R4" s="10">
        <f t="shared" ref="R4:R50" si="4">(Q4/H4)*100</f>
        <v>8.4865690321321345</v>
      </c>
      <c r="S4" s="10">
        <f t="shared" ref="S4:S50" si="5">H4/Q4</f>
        <v>11.783324877388804</v>
      </c>
      <c r="T4" s="1"/>
      <c r="V4" t="s">
        <v>114</v>
      </c>
      <c r="W4">
        <v>392.4</v>
      </c>
      <c r="X4">
        <v>100</v>
      </c>
      <c r="Y4">
        <f t="shared" ref="Y4:Y46" si="6">X4*W4</f>
        <v>39240</v>
      </c>
      <c r="Z4" t="s">
        <v>106</v>
      </c>
      <c r="AA4">
        <v>85</v>
      </c>
      <c r="AB4">
        <v>1700</v>
      </c>
      <c r="AC4">
        <f t="shared" ref="AC4:AC46" si="7">AB4*AA4</f>
        <v>144500</v>
      </c>
      <c r="AD4">
        <f t="shared" ref="AD4:AD46" si="8">AA4*2200+Y4</f>
        <v>226240</v>
      </c>
      <c r="AE4" t="s">
        <v>111</v>
      </c>
      <c r="AF4">
        <v>55</v>
      </c>
      <c r="AG4">
        <v>1800</v>
      </c>
      <c r="AH4">
        <f t="shared" ref="AH4:AH46" si="9">AG4*AF4+Y4</f>
        <v>138240</v>
      </c>
      <c r="AI4">
        <f t="shared" ref="AI4:AI46" si="10">AF4*2200+Y4</f>
        <v>160240</v>
      </c>
      <c r="AJ4">
        <f t="shared" ref="AJ4:AJ46" si="11">AC4-AH4</f>
        <v>6260</v>
      </c>
      <c r="AK4">
        <v>180</v>
      </c>
      <c r="AL4">
        <f t="shared" ref="AL4:AL46" si="12">(AK4*365*0.45)*0.6</f>
        <v>17739</v>
      </c>
      <c r="AM4" s="12">
        <f t="shared" ref="AM4:AM46" si="13">(AL4/AC4)*100</f>
        <v>12.276124567474049</v>
      </c>
      <c r="AN4" s="13">
        <f t="shared" ref="AN4:AN46" si="14">AC4/AL4</f>
        <v>8.145893229607081</v>
      </c>
    </row>
    <row r="5" spans="1:40" x14ac:dyDescent="0.3">
      <c r="A5" s="3" t="s">
        <v>8</v>
      </c>
      <c r="B5" s="3">
        <v>652.70000000000005</v>
      </c>
      <c r="C5" s="3">
        <v>120</v>
      </c>
      <c r="D5" s="3">
        <f t="shared" si="0"/>
        <v>78324</v>
      </c>
      <c r="E5" s="3" t="s">
        <v>102</v>
      </c>
      <c r="F5" s="3">
        <v>156.69999999999999</v>
      </c>
      <c r="G5" s="3">
        <v>1700</v>
      </c>
      <c r="H5" s="3">
        <f>G5*F5+D5</f>
        <v>344714</v>
      </c>
      <c r="I5" s="3">
        <f>F5*2200+D5</f>
        <v>423064</v>
      </c>
      <c r="J5" s="3" t="s">
        <v>109</v>
      </c>
      <c r="K5" s="3">
        <v>110</v>
      </c>
      <c r="L5" s="3">
        <v>1800</v>
      </c>
      <c r="M5" s="3">
        <f>L5*K5+D5</f>
        <v>276324</v>
      </c>
      <c r="N5" s="3">
        <f t="shared" si="1"/>
        <v>320324</v>
      </c>
      <c r="O5" s="3">
        <f t="shared" si="2"/>
        <v>68390</v>
      </c>
      <c r="P5">
        <v>300</v>
      </c>
      <c r="Q5" s="11">
        <f t="shared" si="3"/>
        <v>29565</v>
      </c>
      <c r="R5" s="10">
        <f t="shared" si="4"/>
        <v>8.5766751567966484</v>
      </c>
      <c r="S5" s="10">
        <f t="shared" si="5"/>
        <v>11.659529849484187</v>
      </c>
      <c r="T5" s="1"/>
      <c r="V5" t="s">
        <v>115</v>
      </c>
      <c r="W5">
        <v>491.7</v>
      </c>
      <c r="X5">
        <v>100</v>
      </c>
      <c r="Y5">
        <f t="shared" si="6"/>
        <v>49170</v>
      </c>
      <c r="Z5" t="s">
        <v>105</v>
      </c>
      <c r="AA5">
        <v>115</v>
      </c>
      <c r="AB5">
        <v>1700</v>
      </c>
      <c r="AC5">
        <f t="shared" si="7"/>
        <v>195500</v>
      </c>
      <c r="AD5">
        <f t="shared" si="8"/>
        <v>302170</v>
      </c>
      <c r="AE5" t="s">
        <v>110</v>
      </c>
      <c r="AK5">
        <v>250</v>
      </c>
      <c r="AL5">
        <f t="shared" si="12"/>
        <v>24637.5</v>
      </c>
      <c r="AM5" s="12">
        <f t="shared" si="13"/>
        <v>12.602301790281331</v>
      </c>
      <c r="AN5" s="13">
        <f t="shared" si="14"/>
        <v>7.9350583460172501</v>
      </c>
    </row>
    <row r="6" spans="1:40" x14ac:dyDescent="0.3">
      <c r="A6" s="3" t="s">
        <v>9</v>
      </c>
      <c r="B6" s="3">
        <v>558.9</v>
      </c>
      <c r="C6" s="3">
        <v>120</v>
      </c>
      <c r="D6" s="3">
        <f t="shared" si="0"/>
        <v>67068</v>
      </c>
      <c r="E6" s="3" t="s">
        <v>103</v>
      </c>
      <c r="F6" s="3">
        <v>115</v>
      </c>
      <c r="G6" s="3">
        <v>1700</v>
      </c>
      <c r="H6" s="3">
        <f>G6*F6+D6</f>
        <v>262568</v>
      </c>
      <c r="I6" s="3">
        <f>F6*2200+D6</f>
        <v>320068</v>
      </c>
      <c r="J6" s="3" t="s">
        <v>110</v>
      </c>
      <c r="P6">
        <v>250</v>
      </c>
      <c r="Q6" s="11">
        <f t="shared" si="3"/>
        <v>24637.5</v>
      </c>
      <c r="R6" s="10">
        <f t="shared" si="4"/>
        <v>9.3832835684470304</v>
      </c>
      <c r="S6" s="10">
        <f t="shared" si="5"/>
        <v>10.657250126839168</v>
      </c>
      <c r="T6" s="1"/>
      <c r="V6" t="s">
        <v>116</v>
      </c>
      <c r="W6">
        <v>557.79999999999995</v>
      </c>
      <c r="X6">
        <v>100</v>
      </c>
      <c r="Y6">
        <f t="shared" si="6"/>
        <v>55779.999999999993</v>
      </c>
      <c r="Z6" t="s">
        <v>105</v>
      </c>
      <c r="AA6">
        <v>115</v>
      </c>
      <c r="AB6">
        <v>1700</v>
      </c>
      <c r="AC6">
        <f t="shared" si="7"/>
        <v>195500</v>
      </c>
      <c r="AD6">
        <f t="shared" si="8"/>
        <v>308780</v>
      </c>
      <c r="AE6" t="s">
        <v>110</v>
      </c>
      <c r="AK6">
        <v>250</v>
      </c>
      <c r="AL6">
        <f t="shared" si="12"/>
        <v>24637.5</v>
      </c>
      <c r="AM6" s="12">
        <f t="shared" si="13"/>
        <v>12.602301790281331</v>
      </c>
      <c r="AN6" s="13">
        <f t="shared" si="14"/>
        <v>7.9350583460172501</v>
      </c>
    </row>
    <row r="7" spans="1:40" x14ac:dyDescent="0.3">
      <c r="A7" s="3" t="s">
        <v>10</v>
      </c>
      <c r="B7" s="3">
        <v>561.5</v>
      </c>
      <c r="C7" s="3">
        <v>120</v>
      </c>
      <c r="D7" s="3">
        <f t="shared" si="0"/>
        <v>67380</v>
      </c>
      <c r="E7" s="3" t="s">
        <v>103</v>
      </c>
      <c r="F7" s="3">
        <v>115</v>
      </c>
      <c r="G7" s="3">
        <v>1700</v>
      </c>
      <c r="H7" s="3">
        <f>G7*F7+D7</f>
        <v>262880</v>
      </c>
      <c r="I7" s="3">
        <f>F7*2200+D7</f>
        <v>320380</v>
      </c>
      <c r="J7" s="3" t="s">
        <v>110</v>
      </c>
      <c r="P7">
        <v>250</v>
      </c>
      <c r="Q7" s="11">
        <f t="shared" si="3"/>
        <v>24637.5</v>
      </c>
      <c r="R7" s="10">
        <f t="shared" si="4"/>
        <v>9.3721469872185033</v>
      </c>
      <c r="S7" s="10">
        <f t="shared" si="5"/>
        <v>10.669913749365804</v>
      </c>
      <c r="T7" s="1"/>
      <c r="V7" t="s">
        <v>117</v>
      </c>
      <c r="W7">
        <v>591.5</v>
      </c>
      <c r="X7">
        <v>100</v>
      </c>
      <c r="Y7">
        <f t="shared" si="6"/>
        <v>59150</v>
      </c>
      <c r="Z7" t="s">
        <v>105</v>
      </c>
      <c r="AA7">
        <v>115</v>
      </c>
      <c r="AB7">
        <v>1700</v>
      </c>
      <c r="AC7">
        <f t="shared" si="7"/>
        <v>195500</v>
      </c>
      <c r="AD7">
        <f t="shared" si="8"/>
        <v>312150</v>
      </c>
      <c r="AE7" t="s">
        <v>110</v>
      </c>
      <c r="AK7">
        <v>250</v>
      </c>
      <c r="AL7">
        <f t="shared" si="12"/>
        <v>24637.5</v>
      </c>
      <c r="AM7" s="12">
        <f t="shared" si="13"/>
        <v>12.602301790281331</v>
      </c>
      <c r="AN7" s="13">
        <f t="shared" si="14"/>
        <v>7.9350583460172501</v>
      </c>
    </row>
    <row r="8" spans="1:40" x14ac:dyDescent="0.3">
      <c r="A8" s="3" t="s">
        <v>11</v>
      </c>
      <c r="B8" s="3">
        <v>740.3</v>
      </c>
      <c r="C8" s="3">
        <v>120</v>
      </c>
      <c r="D8" s="3">
        <f t="shared" si="0"/>
        <v>88836</v>
      </c>
      <c r="E8" s="3" t="s">
        <v>102</v>
      </c>
      <c r="F8" s="3">
        <v>156.69999999999999</v>
      </c>
      <c r="G8" s="3">
        <v>1700</v>
      </c>
      <c r="H8" s="3">
        <f>G8*F8+D8</f>
        <v>355226</v>
      </c>
      <c r="I8" s="3">
        <f>F8*2200+D8</f>
        <v>433576</v>
      </c>
      <c r="J8" s="3" t="s">
        <v>109</v>
      </c>
      <c r="K8" s="3">
        <v>110</v>
      </c>
      <c r="L8" s="3">
        <v>1800</v>
      </c>
      <c r="M8" s="3">
        <f>L8*K8+D8</f>
        <v>286836</v>
      </c>
      <c r="N8" s="3">
        <f t="shared" si="1"/>
        <v>330836</v>
      </c>
      <c r="O8" s="3">
        <f t="shared" si="2"/>
        <v>68390</v>
      </c>
      <c r="P8">
        <v>300</v>
      </c>
      <c r="Q8" s="11">
        <f t="shared" si="3"/>
        <v>29565</v>
      </c>
      <c r="R8" s="10">
        <f t="shared" si="4"/>
        <v>8.3228705106045151</v>
      </c>
      <c r="S8" s="10">
        <f t="shared" si="5"/>
        <v>12.015085405039743</v>
      </c>
      <c r="T8" s="1"/>
      <c r="V8" t="s">
        <v>118</v>
      </c>
      <c r="W8">
        <v>608.4</v>
      </c>
      <c r="X8">
        <v>100</v>
      </c>
      <c r="Y8">
        <f t="shared" si="6"/>
        <v>60840</v>
      </c>
      <c r="Z8" t="s">
        <v>105</v>
      </c>
      <c r="AA8">
        <v>115</v>
      </c>
      <c r="AB8">
        <v>1700</v>
      </c>
      <c r="AC8">
        <f t="shared" si="7"/>
        <v>195500</v>
      </c>
      <c r="AD8">
        <f t="shared" si="8"/>
        <v>313840</v>
      </c>
      <c r="AE8" t="s">
        <v>110</v>
      </c>
      <c r="AK8">
        <v>250</v>
      </c>
      <c r="AL8">
        <f t="shared" si="12"/>
        <v>24637.5</v>
      </c>
      <c r="AM8" s="12">
        <f t="shared" si="13"/>
        <v>12.602301790281331</v>
      </c>
      <c r="AN8" s="13">
        <f t="shared" si="14"/>
        <v>7.9350583460172501</v>
      </c>
    </row>
    <row r="9" spans="1:40" x14ac:dyDescent="0.3">
      <c r="A9" s="3" t="s">
        <v>12</v>
      </c>
      <c r="B9" s="3">
        <v>953.6</v>
      </c>
      <c r="C9" s="3">
        <v>120</v>
      </c>
      <c r="D9" s="3">
        <f t="shared" si="0"/>
        <v>114432</v>
      </c>
      <c r="E9" s="3" t="s">
        <v>102</v>
      </c>
      <c r="F9" s="3">
        <v>156.69999999999999</v>
      </c>
      <c r="G9" s="3">
        <v>1700</v>
      </c>
      <c r="H9" s="3">
        <f>G9*F9+D9</f>
        <v>380822</v>
      </c>
      <c r="I9" s="3">
        <f>F9*2200+D9</f>
        <v>459172</v>
      </c>
      <c r="J9" s="3" t="s">
        <v>109</v>
      </c>
      <c r="K9" s="3">
        <v>110</v>
      </c>
      <c r="L9" s="3">
        <v>1800</v>
      </c>
      <c r="M9" s="3">
        <f>L9*K9+D9</f>
        <v>312432</v>
      </c>
      <c r="N9" s="3">
        <f t="shared" si="1"/>
        <v>356432</v>
      </c>
      <c r="O9" s="3">
        <f t="shared" si="2"/>
        <v>68390</v>
      </c>
      <c r="P9">
        <v>300</v>
      </c>
      <c r="Q9" s="11">
        <f t="shared" si="3"/>
        <v>29565</v>
      </c>
      <c r="R9" s="10">
        <f t="shared" si="4"/>
        <v>7.7634695474526154</v>
      </c>
      <c r="S9" s="10">
        <f t="shared" si="5"/>
        <v>12.880838829697277</v>
      </c>
      <c r="T9" s="1"/>
      <c r="V9" t="s">
        <v>119</v>
      </c>
      <c r="W9">
        <v>609.79999999999995</v>
      </c>
      <c r="X9">
        <v>100</v>
      </c>
      <c r="Y9">
        <f t="shared" si="6"/>
        <v>60979.999999999993</v>
      </c>
      <c r="Z9" t="s">
        <v>105</v>
      </c>
      <c r="AA9">
        <v>115</v>
      </c>
      <c r="AB9">
        <v>1700</v>
      </c>
      <c r="AC9">
        <f t="shared" si="7"/>
        <v>195500</v>
      </c>
      <c r="AD9">
        <f t="shared" si="8"/>
        <v>313980</v>
      </c>
      <c r="AE9" t="s">
        <v>110</v>
      </c>
      <c r="AK9">
        <v>250</v>
      </c>
      <c r="AL9">
        <f t="shared" si="12"/>
        <v>24637.5</v>
      </c>
      <c r="AM9" s="12">
        <f t="shared" si="13"/>
        <v>12.602301790281331</v>
      </c>
      <c r="AN9" s="13">
        <f t="shared" si="14"/>
        <v>7.9350583460172501</v>
      </c>
    </row>
    <row r="10" spans="1:40" x14ac:dyDescent="0.3">
      <c r="A10" s="3" t="s">
        <v>13</v>
      </c>
      <c r="B10" s="3">
        <v>1084.0999999999999</v>
      </c>
      <c r="C10" s="3">
        <v>120</v>
      </c>
      <c r="D10" s="3">
        <f t="shared" si="0"/>
        <v>130091.99999999999</v>
      </c>
      <c r="E10" s="3" t="s">
        <v>102</v>
      </c>
      <c r="F10" s="3">
        <v>156.69999999999999</v>
      </c>
      <c r="G10" s="3">
        <v>1700</v>
      </c>
      <c r="H10" s="3">
        <f>G10*F10+D10</f>
        <v>396482</v>
      </c>
      <c r="I10" s="3">
        <f>F10*2200+D10</f>
        <v>474832</v>
      </c>
      <c r="J10" s="3" t="s">
        <v>109</v>
      </c>
      <c r="K10" s="3">
        <v>110</v>
      </c>
      <c r="L10" s="3">
        <v>1800</v>
      </c>
      <c r="M10" s="3">
        <f>L10*K10+D10</f>
        <v>328092</v>
      </c>
      <c r="N10" s="3">
        <f t="shared" si="1"/>
        <v>372092</v>
      </c>
      <c r="O10" s="3">
        <f t="shared" si="2"/>
        <v>68390</v>
      </c>
      <c r="P10">
        <v>300</v>
      </c>
      <c r="Q10" s="11">
        <f t="shared" si="3"/>
        <v>29565</v>
      </c>
      <c r="R10" s="10">
        <f t="shared" si="4"/>
        <v>7.4568328448706369</v>
      </c>
      <c r="S10" s="10">
        <f t="shared" si="5"/>
        <v>13.41051919499408</v>
      </c>
      <c r="T10" s="1"/>
      <c r="V10" t="s">
        <v>120</v>
      </c>
      <c r="W10">
        <v>580.20000000000005</v>
      </c>
      <c r="X10">
        <v>100</v>
      </c>
      <c r="Y10">
        <f t="shared" si="6"/>
        <v>58020.000000000007</v>
      </c>
      <c r="Z10" t="s">
        <v>105</v>
      </c>
      <c r="AA10">
        <v>115</v>
      </c>
      <c r="AB10">
        <v>1700</v>
      </c>
      <c r="AC10">
        <f t="shared" si="7"/>
        <v>195500</v>
      </c>
      <c r="AD10">
        <f t="shared" si="8"/>
        <v>311020</v>
      </c>
      <c r="AE10" t="s">
        <v>110</v>
      </c>
      <c r="AK10">
        <v>250</v>
      </c>
      <c r="AL10">
        <f t="shared" si="12"/>
        <v>24637.5</v>
      </c>
      <c r="AM10" s="12">
        <f t="shared" si="13"/>
        <v>12.602301790281331</v>
      </c>
      <c r="AN10" s="13">
        <f t="shared" si="14"/>
        <v>7.9350583460172501</v>
      </c>
    </row>
    <row r="11" spans="1:40" x14ac:dyDescent="0.3">
      <c r="A11" s="3" t="s">
        <v>14</v>
      </c>
      <c r="B11" s="3">
        <v>503.7</v>
      </c>
      <c r="C11" s="3">
        <v>120</v>
      </c>
      <c r="D11" s="3">
        <f t="shared" si="0"/>
        <v>60444</v>
      </c>
      <c r="E11" s="3" t="s">
        <v>103</v>
      </c>
      <c r="F11" s="3">
        <v>115</v>
      </c>
      <c r="G11" s="3">
        <v>1700</v>
      </c>
      <c r="H11" s="3">
        <f>G11*F11+D11</f>
        <v>255944</v>
      </c>
      <c r="I11" s="3">
        <f>F11*2200+D11</f>
        <v>313444</v>
      </c>
      <c r="J11" s="3" t="s">
        <v>110</v>
      </c>
      <c r="P11">
        <v>250</v>
      </c>
      <c r="Q11" s="11">
        <f t="shared" si="3"/>
        <v>24637.5</v>
      </c>
      <c r="R11" s="10">
        <f t="shared" si="4"/>
        <v>9.6261291532522737</v>
      </c>
      <c r="S11" s="10">
        <f t="shared" si="5"/>
        <v>10.388391679350583</v>
      </c>
      <c r="T11" s="1"/>
      <c r="V11" t="s">
        <v>121</v>
      </c>
      <c r="W11">
        <v>567.20000000000005</v>
      </c>
      <c r="X11">
        <v>100</v>
      </c>
      <c r="Y11">
        <f t="shared" si="6"/>
        <v>56720.000000000007</v>
      </c>
      <c r="Z11" t="s">
        <v>105</v>
      </c>
      <c r="AA11">
        <v>115</v>
      </c>
      <c r="AB11">
        <v>1700</v>
      </c>
      <c r="AC11">
        <f t="shared" si="7"/>
        <v>195500</v>
      </c>
      <c r="AD11">
        <f t="shared" si="8"/>
        <v>309720</v>
      </c>
      <c r="AE11" t="s">
        <v>110</v>
      </c>
      <c r="AK11">
        <v>250</v>
      </c>
      <c r="AL11">
        <f t="shared" si="12"/>
        <v>24637.5</v>
      </c>
      <c r="AM11" s="12">
        <f t="shared" si="13"/>
        <v>12.602301790281331</v>
      </c>
      <c r="AN11" s="13">
        <f t="shared" si="14"/>
        <v>7.9350583460172501</v>
      </c>
    </row>
    <row r="12" spans="1:40" x14ac:dyDescent="0.3">
      <c r="A12" s="3" t="s">
        <v>15</v>
      </c>
      <c r="B12" s="3">
        <v>413.4</v>
      </c>
      <c r="C12" s="3">
        <v>120</v>
      </c>
      <c r="D12" s="3">
        <f t="shared" si="0"/>
        <v>49608</v>
      </c>
      <c r="E12" s="3" t="s">
        <v>103</v>
      </c>
      <c r="F12" s="3">
        <v>85</v>
      </c>
      <c r="G12" s="3">
        <v>1700</v>
      </c>
      <c r="H12" s="3">
        <f>G12*F12+D12</f>
        <v>194108</v>
      </c>
      <c r="I12" s="3">
        <f>F12*2200+D12</f>
        <v>236608</v>
      </c>
      <c r="J12" s="3" t="s">
        <v>111</v>
      </c>
      <c r="K12" s="3">
        <v>55</v>
      </c>
      <c r="L12" s="3">
        <v>1800</v>
      </c>
      <c r="M12" s="3">
        <f>L12*K12+D12</f>
        <v>148608</v>
      </c>
      <c r="N12" s="3">
        <f t="shared" si="1"/>
        <v>170608</v>
      </c>
      <c r="O12" s="3">
        <f t="shared" si="2"/>
        <v>45500</v>
      </c>
      <c r="P12">
        <v>200</v>
      </c>
      <c r="Q12" s="11">
        <f t="shared" si="3"/>
        <v>19710</v>
      </c>
      <c r="R12" s="10">
        <f t="shared" si="4"/>
        <v>10.154140993673625</v>
      </c>
      <c r="S12" s="10">
        <f t="shared" si="5"/>
        <v>9.8481988838153214</v>
      </c>
      <c r="T12" s="1"/>
      <c r="V12" t="s">
        <v>122</v>
      </c>
      <c r="W12">
        <v>548</v>
      </c>
      <c r="X12">
        <v>100</v>
      </c>
      <c r="Y12">
        <f t="shared" si="6"/>
        <v>54800</v>
      </c>
      <c r="Z12" t="s">
        <v>105</v>
      </c>
      <c r="AA12">
        <v>115</v>
      </c>
      <c r="AB12">
        <v>1700</v>
      </c>
      <c r="AC12">
        <f t="shared" si="7"/>
        <v>195500</v>
      </c>
      <c r="AD12">
        <f t="shared" si="8"/>
        <v>307800</v>
      </c>
      <c r="AE12" t="s">
        <v>110</v>
      </c>
      <c r="AK12">
        <v>250</v>
      </c>
      <c r="AL12">
        <f t="shared" si="12"/>
        <v>24637.5</v>
      </c>
      <c r="AM12" s="12">
        <f t="shared" si="13"/>
        <v>12.602301790281331</v>
      </c>
      <c r="AN12" s="13">
        <f t="shared" si="14"/>
        <v>7.9350583460172501</v>
      </c>
    </row>
    <row r="13" spans="1:40" x14ac:dyDescent="0.3">
      <c r="A13" s="3" t="s">
        <v>16</v>
      </c>
      <c r="B13" s="3">
        <v>393</v>
      </c>
      <c r="C13" s="3">
        <v>120</v>
      </c>
      <c r="D13" s="3">
        <f t="shared" si="0"/>
        <v>47160</v>
      </c>
      <c r="E13" s="3" t="s">
        <v>103</v>
      </c>
      <c r="F13" s="3">
        <v>85</v>
      </c>
      <c r="G13" s="3">
        <v>1700</v>
      </c>
      <c r="H13" s="3">
        <f>G13*F13+D13</f>
        <v>191660</v>
      </c>
      <c r="I13" s="3">
        <f>F13*2200+D13</f>
        <v>234160</v>
      </c>
      <c r="J13" s="3" t="s">
        <v>111</v>
      </c>
      <c r="K13" s="3">
        <v>55</v>
      </c>
      <c r="L13" s="3">
        <v>1800</v>
      </c>
      <c r="M13" s="3">
        <f>L13*K13+D13</f>
        <v>146160</v>
      </c>
      <c r="N13" s="3">
        <f t="shared" si="1"/>
        <v>168160</v>
      </c>
      <c r="O13" s="3">
        <f t="shared" si="2"/>
        <v>45500</v>
      </c>
      <c r="P13">
        <v>200</v>
      </c>
      <c r="Q13" s="11">
        <f t="shared" si="3"/>
        <v>19710</v>
      </c>
      <c r="R13" s="10">
        <f t="shared" si="4"/>
        <v>10.283835959511634</v>
      </c>
      <c r="S13" s="10">
        <f t="shared" si="5"/>
        <v>9.7239979705733131</v>
      </c>
      <c r="T13" s="1"/>
      <c r="V13" t="s">
        <v>123</v>
      </c>
      <c r="W13">
        <v>511.9</v>
      </c>
      <c r="X13">
        <v>100</v>
      </c>
      <c r="Y13">
        <f t="shared" si="6"/>
        <v>51190</v>
      </c>
      <c r="Z13" t="s">
        <v>105</v>
      </c>
      <c r="AA13">
        <v>115</v>
      </c>
      <c r="AB13">
        <v>1700</v>
      </c>
      <c r="AC13">
        <f t="shared" si="7"/>
        <v>195500</v>
      </c>
      <c r="AD13">
        <f t="shared" si="8"/>
        <v>304190</v>
      </c>
      <c r="AE13" t="s">
        <v>110</v>
      </c>
      <c r="AK13">
        <v>250</v>
      </c>
      <c r="AL13">
        <f t="shared" si="12"/>
        <v>24637.5</v>
      </c>
      <c r="AM13" s="12">
        <f t="shared" si="13"/>
        <v>12.602301790281331</v>
      </c>
      <c r="AN13" s="13">
        <f t="shared" si="14"/>
        <v>7.9350583460172501</v>
      </c>
    </row>
    <row r="14" spans="1:40" x14ac:dyDescent="0.3">
      <c r="A14" s="3" t="s">
        <v>17</v>
      </c>
      <c r="B14" s="3">
        <v>404.7</v>
      </c>
      <c r="C14" s="3">
        <v>120</v>
      </c>
      <c r="D14" s="3">
        <f t="shared" si="0"/>
        <v>48564</v>
      </c>
      <c r="E14" s="3" t="s">
        <v>103</v>
      </c>
      <c r="F14" s="3">
        <v>85</v>
      </c>
      <c r="G14" s="3">
        <v>1700</v>
      </c>
      <c r="H14" s="3">
        <f>G14*F14+D14</f>
        <v>193064</v>
      </c>
      <c r="I14" s="3">
        <f>F14*2200+D14</f>
        <v>235564</v>
      </c>
      <c r="J14" s="3" t="s">
        <v>111</v>
      </c>
      <c r="K14" s="3">
        <v>55</v>
      </c>
      <c r="L14" s="3">
        <v>1800</v>
      </c>
      <c r="M14" s="3">
        <f>L14*K14+D14</f>
        <v>147564</v>
      </c>
      <c r="N14" s="3">
        <f t="shared" si="1"/>
        <v>169564</v>
      </c>
      <c r="O14" s="3">
        <f t="shared" si="2"/>
        <v>45500</v>
      </c>
      <c r="P14">
        <v>200</v>
      </c>
      <c r="Q14" s="11">
        <f t="shared" si="3"/>
        <v>19710</v>
      </c>
      <c r="R14" s="10">
        <f t="shared" si="4"/>
        <v>10.209049848754818</v>
      </c>
      <c r="S14" s="10">
        <f t="shared" si="5"/>
        <v>9.7952308472856426</v>
      </c>
      <c r="T14" s="1"/>
      <c r="V14" t="s">
        <v>124</v>
      </c>
      <c r="W14">
        <v>457.2</v>
      </c>
      <c r="X14">
        <v>100</v>
      </c>
      <c r="Y14">
        <f t="shared" si="6"/>
        <v>45720</v>
      </c>
      <c r="Z14" t="s">
        <v>105</v>
      </c>
      <c r="AA14">
        <v>115</v>
      </c>
      <c r="AB14">
        <v>1700</v>
      </c>
      <c r="AC14">
        <f t="shared" si="7"/>
        <v>195500</v>
      </c>
      <c r="AD14">
        <f t="shared" si="8"/>
        <v>298720</v>
      </c>
      <c r="AE14" t="s">
        <v>110</v>
      </c>
      <c r="AK14">
        <v>250</v>
      </c>
      <c r="AL14">
        <f t="shared" si="12"/>
        <v>24637.5</v>
      </c>
      <c r="AM14" s="12">
        <f t="shared" si="13"/>
        <v>12.602301790281331</v>
      </c>
      <c r="AN14" s="13">
        <f t="shared" si="14"/>
        <v>7.9350583460172501</v>
      </c>
    </row>
    <row r="15" spans="1:40" x14ac:dyDescent="0.3">
      <c r="A15" s="3" t="s">
        <v>18</v>
      </c>
      <c r="B15" s="3">
        <v>485.3</v>
      </c>
      <c r="C15" s="3">
        <v>120</v>
      </c>
      <c r="D15" s="3">
        <f t="shared" si="0"/>
        <v>58236</v>
      </c>
      <c r="E15" s="3" t="s">
        <v>103</v>
      </c>
      <c r="F15" s="3">
        <v>115</v>
      </c>
      <c r="G15" s="3">
        <v>1700</v>
      </c>
      <c r="H15" s="3">
        <f>G15*F15+D15</f>
        <v>253736</v>
      </c>
      <c r="I15" s="3">
        <f>F15*2200+D15</f>
        <v>311236</v>
      </c>
      <c r="J15" s="3" t="s">
        <v>110</v>
      </c>
      <c r="P15">
        <v>250</v>
      </c>
      <c r="Q15" s="11">
        <f t="shared" si="3"/>
        <v>24637.5</v>
      </c>
      <c r="R15" s="10">
        <f t="shared" si="4"/>
        <v>9.7098953242740489</v>
      </c>
      <c r="S15" s="10">
        <f t="shared" si="5"/>
        <v>10.298772196854388</v>
      </c>
      <c r="T15" s="1"/>
      <c r="V15" t="s">
        <v>125</v>
      </c>
      <c r="W15">
        <v>381.9</v>
      </c>
      <c r="X15">
        <v>100</v>
      </c>
      <c r="Y15">
        <f t="shared" si="6"/>
        <v>38190</v>
      </c>
      <c r="Z15" t="s">
        <v>106</v>
      </c>
      <c r="AA15">
        <v>85</v>
      </c>
      <c r="AB15">
        <v>1700</v>
      </c>
      <c r="AC15">
        <f t="shared" si="7"/>
        <v>144500</v>
      </c>
      <c r="AD15">
        <f t="shared" si="8"/>
        <v>225190</v>
      </c>
      <c r="AE15" t="s">
        <v>111</v>
      </c>
      <c r="AF15">
        <v>55</v>
      </c>
      <c r="AG15">
        <v>1800</v>
      </c>
      <c r="AH15">
        <f t="shared" si="9"/>
        <v>137190</v>
      </c>
      <c r="AI15">
        <f t="shared" si="10"/>
        <v>159190</v>
      </c>
      <c r="AJ15">
        <f t="shared" si="11"/>
        <v>7310</v>
      </c>
      <c r="AK15">
        <v>180</v>
      </c>
      <c r="AL15">
        <f t="shared" si="12"/>
        <v>17739</v>
      </c>
      <c r="AM15" s="12">
        <f t="shared" si="13"/>
        <v>12.276124567474049</v>
      </c>
      <c r="AN15" s="13">
        <f t="shared" si="14"/>
        <v>8.145893229607081</v>
      </c>
    </row>
    <row r="16" spans="1:40" x14ac:dyDescent="0.3">
      <c r="A16" s="3" t="s">
        <v>19</v>
      </c>
      <c r="B16" s="3">
        <v>479.7</v>
      </c>
      <c r="C16" s="3">
        <v>120</v>
      </c>
      <c r="D16" s="3">
        <f t="shared" si="0"/>
        <v>57564</v>
      </c>
      <c r="E16" s="3" t="s">
        <v>103</v>
      </c>
      <c r="F16" s="3">
        <v>115</v>
      </c>
      <c r="G16" s="3">
        <v>1700</v>
      </c>
      <c r="H16" s="3">
        <f>G16*F16+D16</f>
        <v>253064</v>
      </c>
      <c r="I16" s="3">
        <f>F16*2200+D16</f>
        <v>310564</v>
      </c>
      <c r="J16" s="3" t="s">
        <v>110</v>
      </c>
      <c r="P16">
        <v>250</v>
      </c>
      <c r="Q16" s="11">
        <f t="shared" si="3"/>
        <v>24637.5</v>
      </c>
      <c r="R16" s="10">
        <f t="shared" si="4"/>
        <v>9.7356795119021271</v>
      </c>
      <c r="S16" s="10">
        <f t="shared" si="5"/>
        <v>10.271496702181635</v>
      </c>
      <c r="T16" s="1"/>
      <c r="V16" t="s">
        <v>126</v>
      </c>
      <c r="W16">
        <v>283.2</v>
      </c>
      <c r="X16">
        <v>100</v>
      </c>
      <c r="Y16">
        <f t="shared" si="6"/>
        <v>28320</v>
      </c>
      <c r="Z16" t="s">
        <v>188</v>
      </c>
      <c r="AA16">
        <v>55</v>
      </c>
      <c r="AB16">
        <v>1700</v>
      </c>
      <c r="AC16">
        <f t="shared" si="7"/>
        <v>93500</v>
      </c>
      <c r="AD16">
        <f t="shared" si="8"/>
        <v>149320</v>
      </c>
      <c r="AE16" t="s">
        <v>189</v>
      </c>
      <c r="AK16">
        <v>150</v>
      </c>
      <c r="AL16">
        <f t="shared" si="12"/>
        <v>14782.5</v>
      </c>
      <c r="AM16" s="12">
        <f t="shared" si="13"/>
        <v>15.810160427807487</v>
      </c>
      <c r="AN16" s="13">
        <f t="shared" si="14"/>
        <v>6.3250465076949096</v>
      </c>
    </row>
    <row r="17" spans="1:40" x14ac:dyDescent="0.3">
      <c r="A17" s="3" t="s">
        <v>20</v>
      </c>
      <c r="B17" s="3">
        <v>652.9</v>
      </c>
      <c r="C17" s="3">
        <v>120</v>
      </c>
      <c r="D17" s="3">
        <f t="shared" si="0"/>
        <v>78348</v>
      </c>
      <c r="E17" s="3" t="s">
        <v>102</v>
      </c>
      <c r="F17" s="3">
        <v>156.69999999999999</v>
      </c>
      <c r="G17" s="3">
        <v>1700</v>
      </c>
      <c r="H17" s="3">
        <f>G17*F17+D17</f>
        <v>344738</v>
      </c>
      <c r="I17" s="3">
        <f>F17*2200+D17</f>
        <v>423088</v>
      </c>
      <c r="J17" s="3" t="s">
        <v>109</v>
      </c>
      <c r="K17" s="3">
        <v>110</v>
      </c>
      <c r="L17" s="3">
        <v>1800</v>
      </c>
      <c r="M17" s="3">
        <f>L17*K17+D17</f>
        <v>276348</v>
      </c>
      <c r="N17" s="3">
        <f t="shared" si="1"/>
        <v>320348</v>
      </c>
      <c r="O17" s="3">
        <f t="shared" si="2"/>
        <v>68390</v>
      </c>
      <c r="P17">
        <v>300</v>
      </c>
      <c r="Q17" s="11">
        <f t="shared" si="3"/>
        <v>29565</v>
      </c>
      <c r="R17" s="10">
        <f t="shared" si="4"/>
        <v>8.5760780650813082</v>
      </c>
      <c r="S17" s="10">
        <f t="shared" si="5"/>
        <v>11.660341620158972</v>
      </c>
      <c r="T17" s="1"/>
      <c r="V17" t="s">
        <v>127</v>
      </c>
      <c r="W17">
        <v>504.5</v>
      </c>
      <c r="X17">
        <v>100</v>
      </c>
      <c r="Y17">
        <f t="shared" si="6"/>
        <v>50450</v>
      </c>
      <c r="Z17" t="s">
        <v>105</v>
      </c>
      <c r="AA17">
        <v>115</v>
      </c>
      <c r="AB17">
        <v>1700</v>
      </c>
      <c r="AC17">
        <f t="shared" si="7"/>
        <v>195500</v>
      </c>
      <c r="AD17">
        <f t="shared" si="8"/>
        <v>303450</v>
      </c>
      <c r="AE17" t="s">
        <v>110</v>
      </c>
      <c r="AK17">
        <v>250</v>
      </c>
      <c r="AL17">
        <f t="shared" si="12"/>
        <v>24637.5</v>
      </c>
      <c r="AM17" s="12">
        <f t="shared" si="13"/>
        <v>12.602301790281331</v>
      </c>
      <c r="AN17" s="13">
        <f t="shared" si="14"/>
        <v>7.9350583460172501</v>
      </c>
    </row>
    <row r="18" spans="1:40" x14ac:dyDescent="0.3">
      <c r="A18" s="3" t="s">
        <v>21</v>
      </c>
      <c r="B18" s="3">
        <v>513.9</v>
      </c>
      <c r="C18" s="3">
        <v>120</v>
      </c>
      <c r="D18" s="3">
        <f t="shared" si="0"/>
        <v>61668</v>
      </c>
      <c r="E18" s="3" t="s">
        <v>103</v>
      </c>
      <c r="F18" s="3">
        <v>115</v>
      </c>
      <c r="G18" s="3">
        <v>1700</v>
      </c>
      <c r="H18" s="3">
        <f>G18*F18+D18</f>
        <v>257168</v>
      </c>
      <c r="I18" s="3">
        <f>F18*2200+D18</f>
        <v>314668</v>
      </c>
      <c r="J18" s="3" t="s">
        <v>110</v>
      </c>
      <c r="P18">
        <v>250</v>
      </c>
      <c r="Q18" s="11">
        <f t="shared" si="3"/>
        <v>24637.5</v>
      </c>
      <c r="R18" s="10">
        <f t="shared" si="4"/>
        <v>9.5803132582591921</v>
      </c>
      <c r="S18" s="10">
        <f t="shared" si="5"/>
        <v>10.438072044647386</v>
      </c>
      <c r="T18" s="1"/>
      <c r="V18" t="s">
        <v>128</v>
      </c>
      <c r="W18">
        <v>643.20000000000005</v>
      </c>
      <c r="X18">
        <v>100</v>
      </c>
      <c r="Y18">
        <f t="shared" si="6"/>
        <v>64320.000000000007</v>
      </c>
      <c r="Z18" t="s">
        <v>105</v>
      </c>
      <c r="AA18">
        <v>115</v>
      </c>
      <c r="AB18">
        <v>1700</v>
      </c>
      <c r="AC18">
        <f t="shared" si="7"/>
        <v>195500</v>
      </c>
      <c r="AD18">
        <f t="shared" si="8"/>
        <v>317320</v>
      </c>
      <c r="AE18" t="s">
        <v>110</v>
      </c>
      <c r="AK18">
        <v>250</v>
      </c>
      <c r="AL18">
        <f t="shared" si="12"/>
        <v>24637.5</v>
      </c>
      <c r="AM18" s="12">
        <f t="shared" si="13"/>
        <v>12.602301790281331</v>
      </c>
      <c r="AN18" s="13">
        <f t="shared" si="14"/>
        <v>7.9350583460172501</v>
      </c>
    </row>
    <row r="19" spans="1:40" x14ac:dyDescent="0.3">
      <c r="A19" s="3" t="s">
        <v>22</v>
      </c>
      <c r="B19" s="3">
        <v>451.8</v>
      </c>
      <c r="C19" s="3">
        <v>120</v>
      </c>
      <c r="D19" s="3">
        <f t="shared" si="0"/>
        <v>54216</v>
      </c>
      <c r="E19" s="3" t="s">
        <v>103</v>
      </c>
      <c r="F19" s="3">
        <v>115</v>
      </c>
      <c r="G19" s="3">
        <v>1700</v>
      </c>
      <c r="H19" s="3">
        <f>G19*F19+D19</f>
        <v>249716</v>
      </c>
      <c r="I19" s="3">
        <f>F19*2200+D19</f>
        <v>307216</v>
      </c>
      <c r="J19" s="3" t="s">
        <v>110</v>
      </c>
      <c r="P19">
        <v>250</v>
      </c>
      <c r="Q19" s="11">
        <f t="shared" si="3"/>
        <v>24637.5</v>
      </c>
      <c r="R19" s="10">
        <f t="shared" si="4"/>
        <v>9.8662080123019749</v>
      </c>
      <c r="S19" s="10">
        <f t="shared" si="5"/>
        <v>10.135606291222729</v>
      </c>
      <c r="T19" s="1"/>
      <c r="V19" t="s">
        <v>129</v>
      </c>
      <c r="W19">
        <v>538.79999999999995</v>
      </c>
      <c r="X19">
        <v>100</v>
      </c>
      <c r="Y19">
        <f t="shared" si="6"/>
        <v>53879.999999999993</v>
      </c>
      <c r="Z19" t="s">
        <v>105</v>
      </c>
      <c r="AA19">
        <v>115</v>
      </c>
      <c r="AB19">
        <v>1700</v>
      </c>
      <c r="AC19">
        <f t="shared" si="7"/>
        <v>195500</v>
      </c>
      <c r="AD19">
        <f t="shared" si="8"/>
        <v>306880</v>
      </c>
      <c r="AE19" t="s">
        <v>110</v>
      </c>
      <c r="AK19">
        <v>250</v>
      </c>
      <c r="AL19">
        <f t="shared" si="12"/>
        <v>24637.5</v>
      </c>
      <c r="AM19" s="12">
        <f t="shared" si="13"/>
        <v>12.602301790281331</v>
      </c>
      <c r="AN19" s="13">
        <f t="shared" si="14"/>
        <v>7.9350583460172501</v>
      </c>
    </row>
    <row r="20" spans="1:40" x14ac:dyDescent="0.3">
      <c r="A20" s="3" t="s">
        <v>23</v>
      </c>
      <c r="B20" s="3">
        <v>509</v>
      </c>
      <c r="C20" s="3">
        <v>120</v>
      </c>
      <c r="D20" s="3">
        <f t="shared" si="0"/>
        <v>61080</v>
      </c>
      <c r="E20" s="3" t="s">
        <v>103</v>
      </c>
      <c r="F20" s="3">
        <v>115</v>
      </c>
      <c r="G20" s="3">
        <v>1700</v>
      </c>
      <c r="H20" s="3">
        <f>G20*F20+D20</f>
        <v>256580</v>
      </c>
      <c r="I20" s="3">
        <f>F20*2200+D20</f>
        <v>314080</v>
      </c>
      <c r="J20" s="3" t="s">
        <v>110</v>
      </c>
      <c r="P20">
        <v>250</v>
      </c>
      <c r="Q20" s="11">
        <f t="shared" si="3"/>
        <v>24637.5</v>
      </c>
      <c r="R20" s="10">
        <f t="shared" si="4"/>
        <v>9.602268298386468</v>
      </c>
      <c r="S20" s="10">
        <f t="shared" si="5"/>
        <v>10.414205986808726</v>
      </c>
      <c r="T20" s="1"/>
      <c r="V20" t="s">
        <v>130</v>
      </c>
      <c r="W20">
        <v>376</v>
      </c>
      <c r="X20">
        <v>100</v>
      </c>
      <c r="Y20">
        <f t="shared" si="6"/>
        <v>37600</v>
      </c>
      <c r="Z20" t="s">
        <v>106</v>
      </c>
      <c r="AA20">
        <v>85</v>
      </c>
      <c r="AB20">
        <v>1700</v>
      </c>
      <c r="AC20">
        <f t="shared" si="7"/>
        <v>144500</v>
      </c>
      <c r="AD20">
        <f t="shared" si="8"/>
        <v>224600</v>
      </c>
      <c r="AE20" t="s">
        <v>111</v>
      </c>
      <c r="AF20">
        <v>55</v>
      </c>
      <c r="AG20">
        <v>1800</v>
      </c>
      <c r="AH20">
        <f t="shared" si="9"/>
        <v>136600</v>
      </c>
      <c r="AI20">
        <f t="shared" si="10"/>
        <v>158600</v>
      </c>
      <c r="AJ20">
        <f t="shared" si="11"/>
        <v>7900</v>
      </c>
      <c r="AK20">
        <v>180</v>
      </c>
      <c r="AL20">
        <f t="shared" si="12"/>
        <v>17739</v>
      </c>
      <c r="AM20" s="12">
        <f t="shared" si="13"/>
        <v>12.276124567474049</v>
      </c>
      <c r="AN20" s="13">
        <f t="shared" si="14"/>
        <v>8.145893229607081</v>
      </c>
    </row>
    <row r="21" spans="1:40" x14ac:dyDescent="0.3">
      <c r="A21" s="3" t="s">
        <v>24</v>
      </c>
      <c r="B21" s="3">
        <v>464.4</v>
      </c>
      <c r="C21" s="3">
        <v>120</v>
      </c>
      <c r="D21" s="3">
        <f t="shared" si="0"/>
        <v>55728</v>
      </c>
      <c r="E21" s="3" t="s">
        <v>103</v>
      </c>
      <c r="F21" s="3">
        <v>115</v>
      </c>
      <c r="G21" s="3">
        <v>1700</v>
      </c>
      <c r="H21" s="3">
        <f>G21*F21+D21</f>
        <v>251228</v>
      </c>
      <c r="I21" s="3">
        <f>F21*2200+D21</f>
        <v>308728</v>
      </c>
      <c r="J21" s="3" t="s">
        <v>110</v>
      </c>
      <c r="P21">
        <v>250</v>
      </c>
      <c r="Q21" s="11">
        <f t="shared" si="3"/>
        <v>24637.5</v>
      </c>
      <c r="R21" s="10">
        <f t="shared" si="4"/>
        <v>9.8068288566561055</v>
      </c>
      <c r="S21" s="10">
        <f t="shared" si="5"/>
        <v>10.196976154236427</v>
      </c>
      <c r="T21" s="1"/>
      <c r="V21" t="s">
        <v>131</v>
      </c>
      <c r="W21">
        <v>359.3</v>
      </c>
      <c r="X21">
        <v>100</v>
      </c>
      <c r="Y21">
        <f t="shared" si="6"/>
        <v>35930</v>
      </c>
      <c r="Z21" t="s">
        <v>106</v>
      </c>
      <c r="AA21">
        <v>85</v>
      </c>
      <c r="AB21">
        <v>1700</v>
      </c>
      <c r="AC21">
        <f t="shared" si="7"/>
        <v>144500</v>
      </c>
      <c r="AD21">
        <f t="shared" si="8"/>
        <v>222930</v>
      </c>
      <c r="AE21" t="s">
        <v>111</v>
      </c>
      <c r="AF21">
        <v>55</v>
      </c>
      <c r="AG21">
        <v>1800</v>
      </c>
      <c r="AH21">
        <f t="shared" si="9"/>
        <v>134930</v>
      </c>
      <c r="AI21">
        <f t="shared" si="10"/>
        <v>156930</v>
      </c>
      <c r="AJ21">
        <f t="shared" si="11"/>
        <v>9570</v>
      </c>
      <c r="AK21">
        <v>180</v>
      </c>
      <c r="AL21">
        <f t="shared" si="12"/>
        <v>17739</v>
      </c>
      <c r="AM21" s="12">
        <f t="shared" si="13"/>
        <v>12.276124567474049</v>
      </c>
      <c r="AN21" s="13">
        <f t="shared" si="14"/>
        <v>8.145893229607081</v>
      </c>
    </row>
    <row r="22" spans="1:40" x14ac:dyDescent="0.3">
      <c r="A22" s="3" t="s">
        <v>25</v>
      </c>
      <c r="B22" s="3">
        <v>425.4</v>
      </c>
      <c r="C22" s="3">
        <v>120</v>
      </c>
      <c r="D22" s="3">
        <f t="shared" si="0"/>
        <v>51048</v>
      </c>
      <c r="E22" s="3" t="s">
        <v>103</v>
      </c>
      <c r="F22" s="3">
        <v>85</v>
      </c>
      <c r="G22" s="3">
        <v>1700</v>
      </c>
      <c r="H22" s="3">
        <f>G22*F22+D22</f>
        <v>195548</v>
      </c>
      <c r="I22" s="3">
        <f>F22*2200+D22</f>
        <v>238048</v>
      </c>
      <c r="J22" s="3" t="s">
        <v>111</v>
      </c>
      <c r="K22" s="3">
        <v>55</v>
      </c>
      <c r="L22" s="3">
        <v>1800</v>
      </c>
      <c r="M22" s="3">
        <f>L22*K22+D22</f>
        <v>150048</v>
      </c>
      <c r="N22" s="3">
        <f t="shared" si="1"/>
        <v>172048</v>
      </c>
      <c r="O22" s="3">
        <f t="shared" si="2"/>
        <v>45500</v>
      </c>
      <c r="P22">
        <v>180</v>
      </c>
      <c r="Q22" s="11">
        <f t="shared" si="3"/>
        <v>17739</v>
      </c>
      <c r="R22" s="10">
        <f t="shared" si="4"/>
        <v>9.0714300325239829</v>
      </c>
      <c r="S22" s="10">
        <f t="shared" si="5"/>
        <v>11.023620271717684</v>
      </c>
      <c r="T22" s="1"/>
      <c r="V22" t="s">
        <v>132</v>
      </c>
      <c r="W22">
        <v>382.6</v>
      </c>
      <c r="X22">
        <v>100</v>
      </c>
      <c r="Y22">
        <f t="shared" si="6"/>
        <v>38260</v>
      </c>
      <c r="Z22" t="s">
        <v>106</v>
      </c>
      <c r="AA22">
        <v>85</v>
      </c>
      <c r="AB22">
        <v>1700</v>
      </c>
      <c r="AC22">
        <f t="shared" si="7"/>
        <v>144500</v>
      </c>
      <c r="AD22">
        <f t="shared" si="8"/>
        <v>225260</v>
      </c>
      <c r="AE22" t="s">
        <v>111</v>
      </c>
      <c r="AF22">
        <v>55</v>
      </c>
      <c r="AG22">
        <v>1800</v>
      </c>
      <c r="AH22">
        <f t="shared" si="9"/>
        <v>137260</v>
      </c>
      <c r="AI22">
        <f t="shared" si="10"/>
        <v>159260</v>
      </c>
      <c r="AJ22">
        <f t="shared" si="11"/>
        <v>7240</v>
      </c>
      <c r="AK22">
        <v>180</v>
      </c>
      <c r="AL22">
        <f t="shared" si="12"/>
        <v>17739</v>
      </c>
      <c r="AM22" s="12">
        <f t="shared" si="13"/>
        <v>12.276124567474049</v>
      </c>
      <c r="AN22" s="13">
        <f t="shared" si="14"/>
        <v>8.145893229607081</v>
      </c>
    </row>
    <row r="23" spans="1:40" x14ac:dyDescent="0.3">
      <c r="A23" s="3" t="s">
        <v>26</v>
      </c>
      <c r="B23" s="3">
        <v>309</v>
      </c>
      <c r="C23" s="3">
        <v>120</v>
      </c>
      <c r="D23" s="3">
        <f t="shared" si="0"/>
        <v>37080</v>
      </c>
      <c r="E23" s="3" t="s">
        <v>104</v>
      </c>
      <c r="F23" s="3">
        <v>55</v>
      </c>
      <c r="G23" s="3">
        <v>1700</v>
      </c>
      <c r="H23" s="3">
        <f>G23*F23+D23</f>
        <v>130580</v>
      </c>
      <c r="I23" s="3">
        <f>F23*2200+D23</f>
        <v>158080</v>
      </c>
      <c r="J23" s="3" t="s">
        <v>112</v>
      </c>
      <c r="P23">
        <v>150</v>
      </c>
      <c r="Q23" s="11">
        <f t="shared" si="3"/>
        <v>14782.5</v>
      </c>
      <c r="R23" s="10">
        <f t="shared" si="4"/>
        <v>11.320646347066932</v>
      </c>
      <c r="S23" s="10">
        <f t="shared" si="5"/>
        <v>8.8334178927786233</v>
      </c>
      <c r="T23" s="1"/>
      <c r="V23" t="s">
        <v>133</v>
      </c>
      <c r="W23">
        <v>402</v>
      </c>
      <c r="X23">
        <v>100</v>
      </c>
      <c r="Y23">
        <f t="shared" si="6"/>
        <v>40200</v>
      </c>
      <c r="Z23" t="s">
        <v>106</v>
      </c>
      <c r="AA23">
        <v>85</v>
      </c>
      <c r="AB23">
        <v>1700</v>
      </c>
      <c r="AC23">
        <f t="shared" si="7"/>
        <v>144500</v>
      </c>
      <c r="AD23">
        <f t="shared" si="8"/>
        <v>227200</v>
      </c>
      <c r="AE23" t="s">
        <v>111</v>
      </c>
      <c r="AF23">
        <v>55</v>
      </c>
      <c r="AG23">
        <v>1800</v>
      </c>
      <c r="AH23">
        <f t="shared" si="9"/>
        <v>139200</v>
      </c>
      <c r="AI23">
        <f t="shared" si="10"/>
        <v>161200</v>
      </c>
      <c r="AJ23">
        <f t="shared" si="11"/>
        <v>5300</v>
      </c>
      <c r="AK23">
        <v>180</v>
      </c>
      <c r="AL23">
        <f t="shared" si="12"/>
        <v>17739</v>
      </c>
      <c r="AM23" s="12">
        <f t="shared" si="13"/>
        <v>12.276124567474049</v>
      </c>
      <c r="AN23" s="13">
        <f t="shared" si="14"/>
        <v>8.145893229607081</v>
      </c>
    </row>
    <row r="24" spans="1:40" x14ac:dyDescent="0.3">
      <c r="A24" s="3" t="s">
        <v>27</v>
      </c>
      <c r="B24" s="3">
        <v>470.5</v>
      </c>
      <c r="C24" s="3">
        <v>120</v>
      </c>
      <c r="D24" s="3">
        <f t="shared" si="0"/>
        <v>56460</v>
      </c>
      <c r="E24" s="3" t="s">
        <v>103</v>
      </c>
      <c r="F24" s="3">
        <v>115</v>
      </c>
      <c r="G24" s="3">
        <v>1700</v>
      </c>
      <c r="H24" s="3">
        <f>G24*F24+D24</f>
        <v>251960</v>
      </c>
      <c r="I24" s="3">
        <f>F24*2200+D24</f>
        <v>309460</v>
      </c>
      <c r="J24" s="3" t="s">
        <v>110</v>
      </c>
      <c r="P24">
        <v>250</v>
      </c>
      <c r="Q24" s="11">
        <f t="shared" si="3"/>
        <v>24637.5</v>
      </c>
      <c r="R24" s="10">
        <f t="shared" si="4"/>
        <v>9.7783378314018101</v>
      </c>
      <c r="S24" s="10">
        <f t="shared" si="5"/>
        <v>10.226686960933536</v>
      </c>
      <c r="T24" s="1"/>
      <c r="V24" t="s">
        <v>134</v>
      </c>
      <c r="W24">
        <v>409.7</v>
      </c>
      <c r="X24">
        <v>100</v>
      </c>
      <c r="Y24">
        <f t="shared" si="6"/>
        <v>40970</v>
      </c>
      <c r="Z24" t="s">
        <v>106</v>
      </c>
      <c r="AA24">
        <v>85</v>
      </c>
      <c r="AB24">
        <v>1700</v>
      </c>
      <c r="AC24">
        <f t="shared" si="7"/>
        <v>144500</v>
      </c>
      <c r="AD24">
        <f t="shared" si="8"/>
        <v>227970</v>
      </c>
      <c r="AE24" t="s">
        <v>111</v>
      </c>
      <c r="AF24">
        <v>55</v>
      </c>
      <c r="AG24">
        <v>1800</v>
      </c>
      <c r="AH24">
        <f t="shared" si="9"/>
        <v>139970</v>
      </c>
      <c r="AI24">
        <f t="shared" si="10"/>
        <v>161970</v>
      </c>
      <c r="AJ24">
        <f t="shared" si="11"/>
        <v>4530</v>
      </c>
      <c r="AK24">
        <v>180</v>
      </c>
      <c r="AL24">
        <f t="shared" si="12"/>
        <v>17739</v>
      </c>
      <c r="AM24" s="12">
        <f t="shared" si="13"/>
        <v>12.276124567474049</v>
      </c>
      <c r="AN24" s="13">
        <f t="shared" si="14"/>
        <v>8.145893229607081</v>
      </c>
    </row>
    <row r="25" spans="1:40" x14ac:dyDescent="0.3">
      <c r="A25" s="3" t="s">
        <v>28</v>
      </c>
      <c r="B25" s="3">
        <v>628.6</v>
      </c>
      <c r="C25" s="3">
        <v>120</v>
      </c>
      <c r="D25" s="3">
        <f t="shared" si="0"/>
        <v>75432</v>
      </c>
      <c r="E25" s="3" t="s">
        <v>103</v>
      </c>
      <c r="F25" s="3">
        <v>115</v>
      </c>
      <c r="G25" s="3">
        <v>1700</v>
      </c>
      <c r="H25" s="3">
        <f>G25*F25+D25</f>
        <v>270932</v>
      </c>
      <c r="I25" s="3">
        <f>F25*2200+D25</f>
        <v>328432</v>
      </c>
      <c r="J25" s="3" t="s">
        <v>110</v>
      </c>
      <c r="P25">
        <v>250</v>
      </c>
      <c r="Q25" s="11">
        <f t="shared" si="3"/>
        <v>24637.5</v>
      </c>
      <c r="R25" s="10">
        <f t="shared" si="4"/>
        <v>9.0936102047746292</v>
      </c>
      <c r="S25" s="10">
        <f t="shared" si="5"/>
        <v>10.996732623033992</v>
      </c>
      <c r="T25" s="1"/>
      <c r="V25" t="s">
        <v>135</v>
      </c>
      <c r="W25">
        <v>406</v>
      </c>
      <c r="X25">
        <v>100</v>
      </c>
      <c r="Y25">
        <f t="shared" si="6"/>
        <v>40600</v>
      </c>
      <c r="Z25" t="s">
        <v>106</v>
      </c>
      <c r="AA25">
        <v>85</v>
      </c>
      <c r="AB25">
        <v>1700</v>
      </c>
      <c r="AC25">
        <f t="shared" si="7"/>
        <v>144500</v>
      </c>
      <c r="AD25">
        <f t="shared" si="8"/>
        <v>227600</v>
      </c>
      <c r="AE25" t="s">
        <v>111</v>
      </c>
      <c r="AF25">
        <v>55</v>
      </c>
      <c r="AG25">
        <v>1800</v>
      </c>
      <c r="AH25">
        <f t="shared" si="9"/>
        <v>139600</v>
      </c>
      <c r="AI25">
        <f t="shared" si="10"/>
        <v>161600</v>
      </c>
      <c r="AJ25">
        <f t="shared" si="11"/>
        <v>4900</v>
      </c>
      <c r="AK25">
        <v>180</v>
      </c>
      <c r="AL25">
        <f t="shared" si="12"/>
        <v>17739</v>
      </c>
      <c r="AM25" s="12">
        <f t="shared" si="13"/>
        <v>12.276124567474049</v>
      </c>
      <c r="AN25" s="13">
        <f t="shared" si="14"/>
        <v>8.145893229607081</v>
      </c>
    </row>
    <row r="26" spans="1:40" x14ac:dyDescent="0.3">
      <c r="A26" s="3" t="s">
        <v>29</v>
      </c>
      <c r="B26" s="3">
        <v>652.1</v>
      </c>
      <c r="C26" s="3">
        <v>120</v>
      </c>
      <c r="D26" s="3">
        <f t="shared" si="0"/>
        <v>78252</v>
      </c>
      <c r="E26" s="3" t="s">
        <v>102</v>
      </c>
      <c r="F26" s="3">
        <v>156.69999999999999</v>
      </c>
      <c r="G26" s="3">
        <v>1700</v>
      </c>
      <c r="H26" s="3">
        <f>G26*F26+D26</f>
        <v>344642</v>
      </c>
      <c r="I26" s="3">
        <f>F26*2200+D26</f>
        <v>422992</v>
      </c>
      <c r="J26" s="3" t="s">
        <v>109</v>
      </c>
      <c r="K26" s="3">
        <v>110</v>
      </c>
      <c r="L26" s="3">
        <v>1800</v>
      </c>
      <c r="M26" s="3">
        <f>L26*K26+D26</f>
        <v>276252</v>
      </c>
      <c r="N26" s="3">
        <f t="shared" si="1"/>
        <v>320252</v>
      </c>
      <c r="O26" s="3">
        <f t="shared" si="2"/>
        <v>68390</v>
      </c>
      <c r="P26">
        <v>300</v>
      </c>
      <c r="Q26" s="11">
        <f t="shared" si="3"/>
        <v>29565</v>
      </c>
      <c r="R26" s="10">
        <f t="shared" si="4"/>
        <v>8.5784669309022128</v>
      </c>
      <c r="S26" s="10">
        <f t="shared" si="5"/>
        <v>11.657094537459834</v>
      </c>
      <c r="T26" s="1"/>
      <c r="V26" t="s">
        <v>136</v>
      </c>
      <c r="W26">
        <v>406.3</v>
      </c>
      <c r="X26">
        <v>100</v>
      </c>
      <c r="Y26">
        <f t="shared" si="6"/>
        <v>40630</v>
      </c>
      <c r="Z26" t="s">
        <v>106</v>
      </c>
      <c r="AA26">
        <v>85</v>
      </c>
      <c r="AB26">
        <v>1700</v>
      </c>
      <c r="AC26">
        <f t="shared" si="7"/>
        <v>144500</v>
      </c>
      <c r="AD26">
        <f t="shared" si="8"/>
        <v>227630</v>
      </c>
      <c r="AE26" t="s">
        <v>111</v>
      </c>
      <c r="AF26">
        <v>55</v>
      </c>
      <c r="AG26">
        <v>1800</v>
      </c>
      <c r="AH26">
        <f t="shared" si="9"/>
        <v>139630</v>
      </c>
      <c r="AI26">
        <f t="shared" si="10"/>
        <v>161630</v>
      </c>
      <c r="AJ26">
        <f t="shared" si="11"/>
        <v>4870</v>
      </c>
      <c r="AK26">
        <v>180</v>
      </c>
      <c r="AL26">
        <f t="shared" si="12"/>
        <v>17739</v>
      </c>
      <c r="AM26" s="12">
        <f t="shared" si="13"/>
        <v>12.276124567474049</v>
      </c>
      <c r="AN26" s="13">
        <f t="shared" si="14"/>
        <v>8.145893229607081</v>
      </c>
    </row>
    <row r="27" spans="1:40" x14ac:dyDescent="0.3">
      <c r="A27" s="3" t="s">
        <v>30</v>
      </c>
      <c r="B27" s="3">
        <v>584.20000000000005</v>
      </c>
      <c r="C27" s="3">
        <v>120</v>
      </c>
      <c r="D27" s="3">
        <f t="shared" si="0"/>
        <v>70104</v>
      </c>
      <c r="E27" s="3" t="s">
        <v>103</v>
      </c>
      <c r="F27" s="3">
        <v>115</v>
      </c>
      <c r="G27" s="3">
        <v>1700</v>
      </c>
      <c r="H27" s="3">
        <f>G27*F27+D27</f>
        <v>265604</v>
      </c>
      <c r="I27" s="3">
        <f>F27*2200+D27</f>
        <v>323104</v>
      </c>
      <c r="J27" s="3" t="s">
        <v>110</v>
      </c>
      <c r="P27">
        <v>250</v>
      </c>
      <c r="Q27" s="11">
        <f t="shared" si="3"/>
        <v>24637.5</v>
      </c>
      <c r="R27" s="10">
        <f t="shared" si="4"/>
        <v>9.2760274694658218</v>
      </c>
      <c r="S27" s="10">
        <f t="shared" si="5"/>
        <v>10.780476915271436</v>
      </c>
      <c r="T27" s="1"/>
      <c r="V27" t="s">
        <v>137</v>
      </c>
      <c r="W27">
        <v>600.70000000000005</v>
      </c>
      <c r="X27">
        <v>100</v>
      </c>
      <c r="Y27">
        <f t="shared" si="6"/>
        <v>60070.000000000007</v>
      </c>
      <c r="Z27" t="s">
        <v>105</v>
      </c>
      <c r="AA27">
        <v>115</v>
      </c>
      <c r="AB27">
        <v>1700</v>
      </c>
      <c r="AC27">
        <f t="shared" si="7"/>
        <v>195500</v>
      </c>
      <c r="AD27">
        <f t="shared" si="8"/>
        <v>313070</v>
      </c>
      <c r="AE27" t="s">
        <v>110</v>
      </c>
      <c r="AK27">
        <v>250</v>
      </c>
      <c r="AL27">
        <f t="shared" si="12"/>
        <v>24637.5</v>
      </c>
      <c r="AM27" s="12">
        <f t="shared" si="13"/>
        <v>12.602301790281331</v>
      </c>
      <c r="AN27" s="13">
        <f t="shared" si="14"/>
        <v>7.9350583460172501</v>
      </c>
    </row>
    <row r="28" spans="1:40" x14ac:dyDescent="0.3">
      <c r="A28" s="3" t="s">
        <v>31</v>
      </c>
      <c r="B28" s="3">
        <v>443.3</v>
      </c>
      <c r="C28" s="3">
        <v>120</v>
      </c>
      <c r="D28" s="3">
        <f t="shared" si="0"/>
        <v>53196</v>
      </c>
      <c r="E28" s="3" t="s">
        <v>103</v>
      </c>
      <c r="F28" s="3">
        <v>85</v>
      </c>
      <c r="G28" s="3">
        <v>1700</v>
      </c>
      <c r="H28" s="3">
        <f>G28*F28+D28</f>
        <v>197696</v>
      </c>
      <c r="I28" s="3">
        <f>F28*2200+D28</f>
        <v>240196</v>
      </c>
      <c r="J28" s="3" t="s">
        <v>111</v>
      </c>
      <c r="K28" s="3">
        <v>55</v>
      </c>
      <c r="L28" s="3">
        <v>1800</v>
      </c>
      <c r="M28" s="3">
        <f>L28*K28+D28</f>
        <v>152196</v>
      </c>
      <c r="N28" s="3">
        <f t="shared" si="1"/>
        <v>174196</v>
      </c>
      <c r="O28" s="3">
        <f t="shared" si="2"/>
        <v>45500</v>
      </c>
      <c r="P28">
        <v>180</v>
      </c>
      <c r="Q28" s="11">
        <f t="shared" si="3"/>
        <v>17739</v>
      </c>
      <c r="R28" s="10">
        <f t="shared" si="4"/>
        <v>8.972867432826158</v>
      </c>
      <c r="S28" s="10">
        <f t="shared" si="5"/>
        <v>11.14470939737302</v>
      </c>
      <c r="T28" s="1"/>
      <c r="V28" t="s">
        <v>138</v>
      </c>
      <c r="W28">
        <v>433.3</v>
      </c>
      <c r="X28">
        <v>100</v>
      </c>
      <c r="Y28">
        <f t="shared" si="6"/>
        <v>43330</v>
      </c>
      <c r="Z28" t="s">
        <v>106</v>
      </c>
      <c r="AA28">
        <v>85</v>
      </c>
      <c r="AB28">
        <v>1700</v>
      </c>
      <c r="AC28">
        <f t="shared" si="7"/>
        <v>144500</v>
      </c>
      <c r="AD28">
        <f t="shared" si="8"/>
        <v>230330</v>
      </c>
      <c r="AE28" t="s">
        <v>111</v>
      </c>
      <c r="AF28">
        <v>55</v>
      </c>
      <c r="AG28">
        <v>1800</v>
      </c>
      <c r="AH28">
        <f t="shared" si="9"/>
        <v>142330</v>
      </c>
      <c r="AI28">
        <f t="shared" si="10"/>
        <v>164330</v>
      </c>
      <c r="AJ28">
        <f t="shared" si="11"/>
        <v>2170</v>
      </c>
      <c r="AK28">
        <v>180</v>
      </c>
      <c r="AL28">
        <f t="shared" si="12"/>
        <v>17739</v>
      </c>
      <c r="AM28" s="12">
        <f t="shared" si="13"/>
        <v>12.276124567474049</v>
      </c>
      <c r="AN28" s="13">
        <f t="shared" si="14"/>
        <v>8.145893229607081</v>
      </c>
    </row>
    <row r="29" spans="1:40" x14ac:dyDescent="0.3">
      <c r="A29" s="3" t="s">
        <v>32</v>
      </c>
      <c r="B29" s="3">
        <v>348.6</v>
      </c>
      <c r="C29" s="3">
        <v>120</v>
      </c>
      <c r="D29" s="3">
        <f t="shared" si="0"/>
        <v>41832</v>
      </c>
      <c r="E29" s="3" t="s">
        <v>104</v>
      </c>
      <c r="F29" s="3">
        <v>55</v>
      </c>
      <c r="G29" s="3">
        <v>1700</v>
      </c>
      <c r="H29" s="3">
        <f>G29*F29+D29</f>
        <v>135332</v>
      </c>
      <c r="I29" s="3">
        <f>F29*2200+D29</f>
        <v>162832</v>
      </c>
      <c r="J29" s="3" t="s">
        <v>112</v>
      </c>
      <c r="P29">
        <v>150</v>
      </c>
      <c r="Q29" s="11">
        <f t="shared" si="3"/>
        <v>14782.5</v>
      </c>
      <c r="R29" s="10">
        <f t="shared" si="4"/>
        <v>10.923137173765259</v>
      </c>
      <c r="S29" s="10">
        <f t="shared" si="5"/>
        <v>9.1548790799932345</v>
      </c>
      <c r="T29" s="1"/>
      <c r="V29" t="s">
        <v>139</v>
      </c>
      <c r="W29">
        <v>426.8</v>
      </c>
      <c r="X29">
        <v>100</v>
      </c>
      <c r="Y29">
        <f t="shared" si="6"/>
        <v>42680</v>
      </c>
      <c r="Z29" t="s">
        <v>106</v>
      </c>
      <c r="AA29">
        <v>85</v>
      </c>
      <c r="AB29">
        <v>1700</v>
      </c>
      <c r="AC29">
        <f t="shared" si="7"/>
        <v>144500</v>
      </c>
      <c r="AD29">
        <f t="shared" si="8"/>
        <v>229680</v>
      </c>
      <c r="AE29" t="s">
        <v>111</v>
      </c>
      <c r="AF29">
        <v>55</v>
      </c>
      <c r="AG29">
        <v>1800</v>
      </c>
      <c r="AH29">
        <f t="shared" si="9"/>
        <v>141680</v>
      </c>
      <c r="AI29">
        <f t="shared" si="10"/>
        <v>163680</v>
      </c>
      <c r="AJ29">
        <f t="shared" si="11"/>
        <v>2820</v>
      </c>
      <c r="AK29">
        <v>180</v>
      </c>
      <c r="AL29">
        <f t="shared" si="12"/>
        <v>17739</v>
      </c>
      <c r="AM29" s="12">
        <f t="shared" si="13"/>
        <v>12.276124567474049</v>
      </c>
      <c r="AN29" s="13">
        <f t="shared" si="14"/>
        <v>8.145893229607081</v>
      </c>
    </row>
    <row r="30" spans="1:40" x14ac:dyDescent="0.3">
      <c r="A30" s="3" t="s">
        <v>33</v>
      </c>
      <c r="B30" s="3">
        <v>298</v>
      </c>
      <c r="C30" s="3">
        <v>120</v>
      </c>
      <c r="D30" s="3">
        <f t="shared" si="0"/>
        <v>35760</v>
      </c>
      <c r="E30" s="3" t="s">
        <v>104</v>
      </c>
      <c r="F30" s="3">
        <v>55</v>
      </c>
      <c r="G30" s="3">
        <v>1700</v>
      </c>
      <c r="H30" s="3">
        <f>G30*F30+D30</f>
        <v>129260</v>
      </c>
      <c r="I30" s="3">
        <f>F30*2200+D30</f>
        <v>156760</v>
      </c>
      <c r="J30" s="3" t="s">
        <v>112</v>
      </c>
      <c r="P30">
        <v>150</v>
      </c>
      <c r="Q30" s="11">
        <f t="shared" si="3"/>
        <v>14782.5</v>
      </c>
      <c r="R30" s="10">
        <f t="shared" si="4"/>
        <v>11.43625251431224</v>
      </c>
      <c r="S30" s="10">
        <f t="shared" si="5"/>
        <v>8.7441231185523431</v>
      </c>
      <c r="T30" s="1"/>
      <c r="V30" t="s">
        <v>140</v>
      </c>
      <c r="W30">
        <v>426.8</v>
      </c>
      <c r="X30">
        <v>100</v>
      </c>
      <c r="Y30">
        <f t="shared" si="6"/>
        <v>42680</v>
      </c>
      <c r="Z30" t="s">
        <v>106</v>
      </c>
      <c r="AA30">
        <v>85</v>
      </c>
      <c r="AB30">
        <v>1700</v>
      </c>
      <c r="AC30">
        <f t="shared" si="7"/>
        <v>144500</v>
      </c>
      <c r="AD30">
        <f t="shared" si="8"/>
        <v>229680</v>
      </c>
      <c r="AE30" t="s">
        <v>111</v>
      </c>
      <c r="AF30">
        <v>55</v>
      </c>
      <c r="AG30">
        <v>1800</v>
      </c>
      <c r="AH30">
        <f t="shared" si="9"/>
        <v>141680</v>
      </c>
      <c r="AI30">
        <f t="shared" si="10"/>
        <v>163680</v>
      </c>
      <c r="AJ30">
        <f t="shared" si="11"/>
        <v>2820</v>
      </c>
      <c r="AK30">
        <v>180</v>
      </c>
      <c r="AL30">
        <f t="shared" si="12"/>
        <v>17739</v>
      </c>
      <c r="AM30" s="12">
        <f t="shared" si="13"/>
        <v>12.276124567474049</v>
      </c>
      <c r="AN30" s="13">
        <f t="shared" si="14"/>
        <v>8.145893229607081</v>
      </c>
    </row>
    <row r="31" spans="1:40" x14ac:dyDescent="0.3">
      <c r="A31" s="3" t="s">
        <v>34</v>
      </c>
      <c r="B31" s="3">
        <v>366</v>
      </c>
      <c r="C31" s="3">
        <v>120</v>
      </c>
      <c r="D31" s="3">
        <f t="shared" si="0"/>
        <v>43920</v>
      </c>
      <c r="E31" s="3" t="s">
        <v>103</v>
      </c>
      <c r="F31" s="3">
        <v>85</v>
      </c>
      <c r="G31" s="3">
        <v>1700</v>
      </c>
      <c r="H31" s="3">
        <f>G31*F31+D31</f>
        <v>188420</v>
      </c>
      <c r="I31" s="3">
        <f>F31*2200+D31</f>
        <v>230920</v>
      </c>
      <c r="J31" s="3" t="s">
        <v>111</v>
      </c>
      <c r="K31" s="3">
        <v>55</v>
      </c>
      <c r="L31" s="3">
        <v>1800</v>
      </c>
      <c r="M31" s="3">
        <f>L31*K31+D31</f>
        <v>142920</v>
      </c>
      <c r="N31" s="3">
        <f t="shared" si="1"/>
        <v>164920</v>
      </c>
      <c r="O31" s="3">
        <f t="shared" si="2"/>
        <v>45500</v>
      </c>
      <c r="P31">
        <v>180</v>
      </c>
      <c r="Q31" s="11">
        <f t="shared" si="3"/>
        <v>17739</v>
      </c>
      <c r="R31" s="10">
        <f t="shared" si="4"/>
        <v>9.4146056681880896</v>
      </c>
      <c r="S31" s="10">
        <f t="shared" si="5"/>
        <v>10.621793787699419</v>
      </c>
      <c r="T31" s="1"/>
      <c r="V31" t="s">
        <v>141</v>
      </c>
      <c r="W31">
        <v>426.8</v>
      </c>
      <c r="X31">
        <v>100</v>
      </c>
      <c r="Y31">
        <f t="shared" si="6"/>
        <v>42680</v>
      </c>
      <c r="Z31" t="s">
        <v>106</v>
      </c>
      <c r="AA31">
        <v>85</v>
      </c>
      <c r="AB31">
        <v>1700</v>
      </c>
      <c r="AC31">
        <f t="shared" si="7"/>
        <v>144500</v>
      </c>
      <c r="AD31">
        <f t="shared" si="8"/>
        <v>229680</v>
      </c>
      <c r="AE31" t="s">
        <v>111</v>
      </c>
      <c r="AF31">
        <v>55</v>
      </c>
      <c r="AG31">
        <v>1800</v>
      </c>
      <c r="AH31">
        <f t="shared" si="9"/>
        <v>141680</v>
      </c>
      <c r="AI31">
        <f t="shared" si="10"/>
        <v>163680</v>
      </c>
      <c r="AJ31">
        <f t="shared" si="11"/>
        <v>2820</v>
      </c>
      <c r="AK31">
        <v>180</v>
      </c>
      <c r="AL31">
        <f t="shared" si="12"/>
        <v>17739</v>
      </c>
      <c r="AM31" s="12">
        <f t="shared" si="13"/>
        <v>12.276124567474049</v>
      </c>
      <c r="AN31" s="13">
        <f t="shared" si="14"/>
        <v>8.145893229607081</v>
      </c>
    </row>
    <row r="32" spans="1:40" x14ac:dyDescent="0.3">
      <c r="A32" s="3" t="s">
        <v>35</v>
      </c>
      <c r="B32" s="3">
        <v>369.6</v>
      </c>
      <c r="C32" s="3">
        <v>120</v>
      </c>
      <c r="D32" s="3">
        <f t="shared" si="0"/>
        <v>44352</v>
      </c>
      <c r="E32" s="3" t="s">
        <v>103</v>
      </c>
      <c r="F32" s="3">
        <v>85</v>
      </c>
      <c r="G32" s="3">
        <v>1700</v>
      </c>
      <c r="H32" s="3">
        <f>G32*F32+D32</f>
        <v>188852</v>
      </c>
      <c r="I32" s="3">
        <f>F32*2200+D32</f>
        <v>231352</v>
      </c>
      <c r="J32" s="3" t="s">
        <v>111</v>
      </c>
      <c r="K32" s="3">
        <v>55</v>
      </c>
      <c r="L32" s="3">
        <v>1800</v>
      </c>
      <c r="M32" s="3">
        <f>L32*K32+D32</f>
        <v>143352</v>
      </c>
      <c r="N32" s="3">
        <f t="shared" si="1"/>
        <v>165352</v>
      </c>
      <c r="O32" s="3">
        <f t="shared" si="2"/>
        <v>45500</v>
      </c>
      <c r="P32">
        <v>180</v>
      </c>
      <c r="Q32" s="11">
        <f t="shared" si="3"/>
        <v>17739</v>
      </c>
      <c r="R32" s="10">
        <f t="shared" si="4"/>
        <v>9.3930697053777568</v>
      </c>
      <c r="S32" s="10">
        <f t="shared" si="5"/>
        <v>10.646146907942951</v>
      </c>
      <c r="T32" s="1"/>
      <c r="V32" t="s">
        <v>142</v>
      </c>
      <c r="W32">
        <v>426.8</v>
      </c>
      <c r="X32">
        <v>100</v>
      </c>
      <c r="Y32">
        <f t="shared" si="6"/>
        <v>42680</v>
      </c>
      <c r="Z32" t="s">
        <v>106</v>
      </c>
      <c r="AA32">
        <v>85</v>
      </c>
      <c r="AB32">
        <v>1700</v>
      </c>
      <c r="AC32">
        <f t="shared" si="7"/>
        <v>144500</v>
      </c>
      <c r="AD32">
        <f t="shared" si="8"/>
        <v>229680</v>
      </c>
      <c r="AE32" t="s">
        <v>111</v>
      </c>
      <c r="AF32">
        <v>55</v>
      </c>
      <c r="AG32">
        <v>1800</v>
      </c>
      <c r="AH32">
        <f t="shared" si="9"/>
        <v>141680</v>
      </c>
      <c r="AI32">
        <f t="shared" si="10"/>
        <v>163680</v>
      </c>
      <c r="AJ32">
        <f t="shared" si="11"/>
        <v>2820</v>
      </c>
      <c r="AK32">
        <v>180</v>
      </c>
      <c r="AL32">
        <f t="shared" si="12"/>
        <v>17739</v>
      </c>
      <c r="AM32" s="12">
        <f t="shared" si="13"/>
        <v>12.276124567474049</v>
      </c>
      <c r="AN32" s="13">
        <f t="shared" si="14"/>
        <v>8.145893229607081</v>
      </c>
    </row>
    <row r="33" spans="1:40" x14ac:dyDescent="0.3">
      <c r="A33" s="3" t="s">
        <v>36</v>
      </c>
      <c r="B33" s="3">
        <v>385.3</v>
      </c>
      <c r="C33" s="3">
        <v>120</v>
      </c>
      <c r="D33" s="3">
        <f t="shared" si="0"/>
        <v>46236</v>
      </c>
      <c r="E33" s="3" t="s">
        <v>103</v>
      </c>
      <c r="F33" s="3">
        <v>85</v>
      </c>
      <c r="G33" s="3">
        <v>1700</v>
      </c>
      <c r="H33" s="3">
        <f>G33*F33+D33</f>
        <v>190736</v>
      </c>
      <c r="I33" s="3">
        <f>F33*2200+D33</f>
        <v>233236</v>
      </c>
      <c r="J33" s="3" t="s">
        <v>111</v>
      </c>
      <c r="K33" s="3">
        <v>55</v>
      </c>
      <c r="L33" s="3">
        <v>1800</v>
      </c>
      <c r="M33" s="3">
        <f>L33*K33+D33</f>
        <v>145236</v>
      </c>
      <c r="N33" s="3">
        <f t="shared" si="1"/>
        <v>167236</v>
      </c>
      <c r="O33" s="3">
        <f t="shared" si="2"/>
        <v>45500</v>
      </c>
      <c r="P33">
        <v>180</v>
      </c>
      <c r="Q33" s="11">
        <f t="shared" si="3"/>
        <v>17739</v>
      </c>
      <c r="R33" s="10">
        <f t="shared" si="4"/>
        <v>9.3002894052512364</v>
      </c>
      <c r="S33" s="10">
        <f t="shared" si="5"/>
        <v>10.752353571227239</v>
      </c>
      <c r="T33" s="1"/>
      <c r="V33" t="s">
        <v>143</v>
      </c>
      <c r="W33">
        <v>426.8</v>
      </c>
      <c r="X33">
        <v>100</v>
      </c>
      <c r="Y33">
        <f t="shared" si="6"/>
        <v>42680</v>
      </c>
      <c r="Z33" t="s">
        <v>106</v>
      </c>
      <c r="AA33">
        <v>85</v>
      </c>
      <c r="AB33">
        <v>1700</v>
      </c>
      <c r="AC33">
        <f t="shared" si="7"/>
        <v>144500</v>
      </c>
      <c r="AD33">
        <f t="shared" si="8"/>
        <v>229680</v>
      </c>
      <c r="AE33" t="s">
        <v>111</v>
      </c>
      <c r="AF33">
        <v>55</v>
      </c>
      <c r="AG33">
        <v>1800</v>
      </c>
      <c r="AH33">
        <f t="shared" si="9"/>
        <v>141680</v>
      </c>
      <c r="AI33">
        <f t="shared" si="10"/>
        <v>163680</v>
      </c>
      <c r="AJ33">
        <f t="shared" si="11"/>
        <v>2820</v>
      </c>
      <c r="AK33">
        <v>180</v>
      </c>
      <c r="AL33">
        <f t="shared" si="12"/>
        <v>17739</v>
      </c>
      <c r="AM33" s="12">
        <f t="shared" si="13"/>
        <v>12.276124567474049</v>
      </c>
      <c r="AN33" s="13">
        <f t="shared" si="14"/>
        <v>8.145893229607081</v>
      </c>
    </row>
    <row r="34" spans="1:40" x14ac:dyDescent="0.3">
      <c r="A34" s="3" t="s">
        <v>37</v>
      </c>
      <c r="B34" s="3">
        <v>381.8</v>
      </c>
      <c r="C34" s="3">
        <v>120</v>
      </c>
      <c r="D34" s="3">
        <f t="shared" si="0"/>
        <v>45816</v>
      </c>
      <c r="E34" s="3" t="s">
        <v>103</v>
      </c>
      <c r="F34" s="3">
        <v>85</v>
      </c>
      <c r="G34" s="3">
        <v>1700</v>
      </c>
      <c r="H34" s="3">
        <f>G34*F34+D34</f>
        <v>190316</v>
      </c>
      <c r="I34" s="3">
        <f>F34*2200+D34</f>
        <v>232816</v>
      </c>
      <c r="J34" s="3" t="s">
        <v>111</v>
      </c>
      <c r="K34" s="3">
        <v>55</v>
      </c>
      <c r="L34" s="3">
        <v>1800</v>
      </c>
      <c r="M34" s="3">
        <f>L34*K34+D34</f>
        <v>144816</v>
      </c>
      <c r="N34" s="3">
        <f t="shared" si="1"/>
        <v>166816</v>
      </c>
      <c r="O34" s="3">
        <f t="shared" si="2"/>
        <v>45500</v>
      </c>
      <c r="P34">
        <v>180</v>
      </c>
      <c r="Q34" s="11">
        <f t="shared" si="3"/>
        <v>17739</v>
      </c>
      <c r="R34" s="10">
        <f t="shared" si="4"/>
        <v>9.320813804409509</v>
      </c>
      <c r="S34" s="10">
        <f t="shared" si="5"/>
        <v>10.728676926546029</v>
      </c>
      <c r="T34" s="1"/>
      <c r="V34" t="s">
        <v>144</v>
      </c>
      <c r="W34">
        <v>426.8</v>
      </c>
      <c r="X34">
        <v>100</v>
      </c>
      <c r="Y34">
        <f t="shared" si="6"/>
        <v>42680</v>
      </c>
      <c r="Z34" t="s">
        <v>106</v>
      </c>
      <c r="AA34">
        <v>85</v>
      </c>
      <c r="AB34">
        <v>1700</v>
      </c>
      <c r="AC34">
        <f t="shared" si="7"/>
        <v>144500</v>
      </c>
      <c r="AD34">
        <f t="shared" si="8"/>
        <v>229680</v>
      </c>
      <c r="AE34" t="s">
        <v>111</v>
      </c>
      <c r="AF34">
        <v>55</v>
      </c>
      <c r="AG34">
        <v>1800</v>
      </c>
      <c r="AH34">
        <f t="shared" si="9"/>
        <v>141680</v>
      </c>
      <c r="AI34">
        <f t="shared" si="10"/>
        <v>163680</v>
      </c>
      <c r="AJ34">
        <f t="shared" si="11"/>
        <v>2820</v>
      </c>
      <c r="AK34">
        <v>180</v>
      </c>
      <c r="AL34">
        <f t="shared" si="12"/>
        <v>17739</v>
      </c>
      <c r="AM34" s="12">
        <f t="shared" si="13"/>
        <v>12.276124567474049</v>
      </c>
      <c r="AN34" s="13">
        <f t="shared" si="14"/>
        <v>8.145893229607081</v>
      </c>
    </row>
    <row r="35" spans="1:40" x14ac:dyDescent="0.3">
      <c r="A35" s="3" t="s">
        <v>38</v>
      </c>
      <c r="B35" s="3">
        <v>336.7</v>
      </c>
      <c r="C35" s="3">
        <v>120</v>
      </c>
      <c r="D35" s="3">
        <f t="shared" si="0"/>
        <v>40404</v>
      </c>
      <c r="E35" s="3" t="s">
        <v>104</v>
      </c>
      <c r="F35" s="3">
        <v>55</v>
      </c>
      <c r="G35" s="3">
        <v>1700</v>
      </c>
      <c r="H35" s="3">
        <f>G35*F35+D35</f>
        <v>133904</v>
      </c>
      <c r="I35" s="3">
        <f>F35*2200+D35</f>
        <v>161404</v>
      </c>
      <c r="J35" s="3" t="s">
        <v>112</v>
      </c>
      <c r="P35">
        <v>150</v>
      </c>
      <c r="Q35" s="11">
        <f t="shared" si="3"/>
        <v>14782.5</v>
      </c>
      <c r="R35" s="10">
        <f t="shared" si="4"/>
        <v>11.039625403273988</v>
      </c>
      <c r="S35" s="10">
        <f t="shared" si="5"/>
        <v>9.0582783696938947</v>
      </c>
      <c r="T35" s="1"/>
      <c r="V35" t="s">
        <v>145</v>
      </c>
      <c r="W35">
        <v>426.8</v>
      </c>
      <c r="X35">
        <v>100</v>
      </c>
      <c r="Y35">
        <f t="shared" si="6"/>
        <v>42680</v>
      </c>
      <c r="Z35" t="s">
        <v>106</v>
      </c>
      <c r="AA35">
        <v>85</v>
      </c>
      <c r="AB35">
        <v>1700</v>
      </c>
      <c r="AC35">
        <f t="shared" si="7"/>
        <v>144500</v>
      </c>
      <c r="AD35">
        <f t="shared" si="8"/>
        <v>229680</v>
      </c>
      <c r="AE35" t="s">
        <v>111</v>
      </c>
      <c r="AF35">
        <v>55</v>
      </c>
      <c r="AG35">
        <v>1800</v>
      </c>
      <c r="AH35">
        <f t="shared" si="9"/>
        <v>141680</v>
      </c>
      <c r="AI35">
        <f t="shared" si="10"/>
        <v>163680</v>
      </c>
      <c r="AJ35">
        <f t="shared" si="11"/>
        <v>2820</v>
      </c>
      <c r="AK35">
        <v>180</v>
      </c>
      <c r="AL35">
        <f t="shared" si="12"/>
        <v>17739</v>
      </c>
      <c r="AM35" s="12">
        <f t="shared" si="13"/>
        <v>12.276124567474049</v>
      </c>
      <c r="AN35" s="13">
        <f t="shared" si="14"/>
        <v>8.145893229607081</v>
      </c>
    </row>
    <row r="36" spans="1:40" x14ac:dyDescent="0.3">
      <c r="A36" s="3" t="s">
        <v>39</v>
      </c>
      <c r="B36" s="3">
        <v>360.1</v>
      </c>
      <c r="C36" s="3">
        <v>120</v>
      </c>
      <c r="D36" s="3">
        <f t="shared" si="0"/>
        <v>43212</v>
      </c>
      <c r="E36" s="3" t="s">
        <v>103</v>
      </c>
      <c r="F36" s="3">
        <v>85</v>
      </c>
      <c r="G36" s="3">
        <v>1700</v>
      </c>
      <c r="H36" s="3">
        <f>G36*F36+D36</f>
        <v>187712</v>
      </c>
      <c r="I36" s="3">
        <f>F36*2200+D36</f>
        <v>230212</v>
      </c>
      <c r="J36" s="3" t="s">
        <v>111</v>
      </c>
      <c r="K36" s="3">
        <v>55</v>
      </c>
      <c r="L36" s="3">
        <v>1800</v>
      </c>
      <c r="M36" s="3">
        <f>L36*K36+D36</f>
        <v>142212</v>
      </c>
      <c r="N36" s="3">
        <f t="shared" si="1"/>
        <v>164212</v>
      </c>
      <c r="O36" s="3">
        <f t="shared" si="2"/>
        <v>45500</v>
      </c>
      <c r="P36">
        <v>180</v>
      </c>
      <c r="Q36" s="11">
        <f t="shared" si="3"/>
        <v>17739</v>
      </c>
      <c r="R36" s="10">
        <f t="shared" si="4"/>
        <v>9.4501150698943057</v>
      </c>
      <c r="S36" s="10">
        <f t="shared" si="5"/>
        <v>10.581881729522522</v>
      </c>
      <c r="T36" s="1"/>
      <c r="V36" t="s">
        <v>146</v>
      </c>
      <c r="W36">
        <v>426.8</v>
      </c>
      <c r="X36">
        <v>100</v>
      </c>
      <c r="Y36">
        <f t="shared" si="6"/>
        <v>42680</v>
      </c>
      <c r="Z36" t="s">
        <v>106</v>
      </c>
      <c r="AA36">
        <v>85</v>
      </c>
      <c r="AB36">
        <v>1700</v>
      </c>
      <c r="AC36">
        <f t="shared" si="7"/>
        <v>144500</v>
      </c>
      <c r="AD36">
        <f t="shared" si="8"/>
        <v>229680</v>
      </c>
      <c r="AE36" t="s">
        <v>111</v>
      </c>
      <c r="AF36">
        <v>55</v>
      </c>
      <c r="AG36">
        <v>1800</v>
      </c>
      <c r="AH36">
        <f t="shared" si="9"/>
        <v>141680</v>
      </c>
      <c r="AI36">
        <f t="shared" si="10"/>
        <v>163680</v>
      </c>
      <c r="AJ36">
        <f t="shared" si="11"/>
        <v>2820</v>
      </c>
      <c r="AK36">
        <v>180</v>
      </c>
      <c r="AL36">
        <f t="shared" si="12"/>
        <v>17739</v>
      </c>
      <c r="AM36" s="12">
        <f t="shared" si="13"/>
        <v>12.276124567474049</v>
      </c>
      <c r="AN36" s="13">
        <f t="shared" si="14"/>
        <v>8.145893229607081</v>
      </c>
    </row>
    <row r="37" spans="1:40" x14ac:dyDescent="0.3">
      <c r="A37" s="3" t="s">
        <v>40</v>
      </c>
      <c r="B37" s="3">
        <v>325.3</v>
      </c>
      <c r="C37" s="3">
        <v>120</v>
      </c>
      <c r="D37" s="3">
        <f t="shared" si="0"/>
        <v>39036</v>
      </c>
      <c r="E37" s="3" t="s">
        <v>104</v>
      </c>
      <c r="F37" s="3">
        <v>55</v>
      </c>
      <c r="G37" s="3">
        <v>1700</v>
      </c>
      <c r="H37" s="3">
        <f>G37*F37+D37</f>
        <v>132536</v>
      </c>
      <c r="I37" s="3">
        <f>F37*2200+D37</f>
        <v>160036</v>
      </c>
      <c r="J37" s="3" t="s">
        <v>112</v>
      </c>
      <c r="P37">
        <v>150</v>
      </c>
      <c r="Q37" s="11">
        <f t="shared" si="3"/>
        <v>14782.5</v>
      </c>
      <c r="R37" s="10">
        <f t="shared" si="4"/>
        <v>11.153573368745096</v>
      </c>
      <c r="S37" s="10">
        <f t="shared" si="5"/>
        <v>8.9657365127684763</v>
      </c>
      <c r="T37" s="1"/>
      <c r="V37" t="s">
        <v>147</v>
      </c>
      <c r="W37">
        <v>426.8</v>
      </c>
      <c r="X37">
        <v>100</v>
      </c>
      <c r="Y37">
        <f t="shared" si="6"/>
        <v>42680</v>
      </c>
      <c r="Z37" t="s">
        <v>106</v>
      </c>
      <c r="AA37">
        <v>85</v>
      </c>
      <c r="AB37">
        <v>1700</v>
      </c>
      <c r="AC37">
        <f t="shared" si="7"/>
        <v>144500</v>
      </c>
      <c r="AD37">
        <f t="shared" si="8"/>
        <v>229680</v>
      </c>
      <c r="AE37" t="s">
        <v>111</v>
      </c>
      <c r="AF37">
        <v>55</v>
      </c>
      <c r="AG37">
        <v>1800</v>
      </c>
      <c r="AH37">
        <f t="shared" si="9"/>
        <v>141680</v>
      </c>
      <c r="AI37">
        <f t="shared" si="10"/>
        <v>163680</v>
      </c>
      <c r="AJ37">
        <f t="shared" si="11"/>
        <v>2820</v>
      </c>
      <c r="AK37">
        <v>180</v>
      </c>
      <c r="AL37">
        <f t="shared" si="12"/>
        <v>17739</v>
      </c>
      <c r="AM37" s="12">
        <f t="shared" si="13"/>
        <v>12.276124567474049</v>
      </c>
      <c r="AN37" s="13">
        <f t="shared" si="14"/>
        <v>8.145893229607081</v>
      </c>
    </row>
    <row r="38" spans="1:40" x14ac:dyDescent="0.3">
      <c r="A38" s="3" t="s">
        <v>41</v>
      </c>
      <c r="B38" s="3">
        <v>335.4</v>
      </c>
      <c r="C38" s="3">
        <v>120</v>
      </c>
      <c r="D38" s="3">
        <f t="shared" si="0"/>
        <v>40248</v>
      </c>
      <c r="E38" s="3" t="s">
        <v>104</v>
      </c>
      <c r="F38" s="3">
        <v>55</v>
      </c>
      <c r="G38" s="3">
        <v>1700</v>
      </c>
      <c r="H38" s="3">
        <f>G38*F38+D38</f>
        <v>133748</v>
      </c>
      <c r="I38" s="3">
        <f>F38*2200+D38</f>
        <v>161248</v>
      </c>
      <c r="J38" s="3" t="s">
        <v>112</v>
      </c>
      <c r="P38">
        <v>150</v>
      </c>
      <c r="Q38" s="11">
        <f t="shared" si="3"/>
        <v>14782.5</v>
      </c>
      <c r="R38" s="10">
        <f t="shared" si="4"/>
        <v>11.052501719651882</v>
      </c>
      <c r="S38" s="10">
        <f t="shared" si="5"/>
        <v>9.0477253509216986</v>
      </c>
      <c r="T38" s="1"/>
      <c r="V38" t="s">
        <v>148</v>
      </c>
      <c r="W38">
        <v>426.8</v>
      </c>
      <c r="X38">
        <v>100</v>
      </c>
      <c r="Y38">
        <f t="shared" si="6"/>
        <v>42680</v>
      </c>
      <c r="Z38" t="s">
        <v>106</v>
      </c>
      <c r="AA38">
        <v>85</v>
      </c>
      <c r="AB38">
        <v>1700</v>
      </c>
      <c r="AC38">
        <f t="shared" si="7"/>
        <v>144500</v>
      </c>
      <c r="AD38">
        <f t="shared" si="8"/>
        <v>229680</v>
      </c>
      <c r="AE38" t="s">
        <v>111</v>
      </c>
      <c r="AF38">
        <v>55</v>
      </c>
      <c r="AG38">
        <v>1800</v>
      </c>
      <c r="AH38">
        <f t="shared" si="9"/>
        <v>141680</v>
      </c>
      <c r="AI38">
        <f t="shared" si="10"/>
        <v>163680</v>
      </c>
      <c r="AJ38">
        <f t="shared" si="11"/>
        <v>2820</v>
      </c>
      <c r="AK38">
        <v>180</v>
      </c>
      <c r="AL38">
        <f t="shared" si="12"/>
        <v>17739</v>
      </c>
      <c r="AM38" s="12">
        <f t="shared" si="13"/>
        <v>12.276124567474049</v>
      </c>
      <c r="AN38" s="13">
        <f t="shared" si="14"/>
        <v>8.145893229607081</v>
      </c>
    </row>
    <row r="39" spans="1:40" x14ac:dyDescent="0.3">
      <c r="A39" s="3" t="s">
        <v>42</v>
      </c>
      <c r="B39" s="3">
        <v>293</v>
      </c>
      <c r="C39" s="3">
        <v>120</v>
      </c>
      <c r="D39" s="3">
        <f t="shared" si="0"/>
        <v>35160</v>
      </c>
      <c r="E39" s="3" t="s">
        <v>104</v>
      </c>
      <c r="F39" s="3">
        <v>55</v>
      </c>
      <c r="G39" s="3">
        <v>1700</v>
      </c>
      <c r="H39" s="3">
        <f>G39*F39+D39</f>
        <v>128660</v>
      </c>
      <c r="I39" s="3">
        <f>F39*2200+D39</f>
        <v>156160</v>
      </c>
      <c r="J39" s="3" t="s">
        <v>112</v>
      </c>
      <c r="P39">
        <v>150</v>
      </c>
      <c r="Q39" s="11">
        <f t="shared" si="3"/>
        <v>14782.5</v>
      </c>
      <c r="R39" s="10">
        <f t="shared" si="4"/>
        <v>11.489584952588217</v>
      </c>
      <c r="S39" s="10">
        <f t="shared" si="5"/>
        <v>8.7035345848131236</v>
      </c>
      <c r="T39" s="1"/>
      <c r="V39" t="s">
        <v>149</v>
      </c>
      <c r="W39">
        <v>412.6</v>
      </c>
      <c r="X39">
        <v>100</v>
      </c>
      <c r="Y39">
        <f t="shared" si="6"/>
        <v>41260</v>
      </c>
      <c r="Z39" t="s">
        <v>106</v>
      </c>
      <c r="AA39">
        <v>85</v>
      </c>
      <c r="AB39">
        <v>1700</v>
      </c>
      <c r="AC39">
        <f t="shared" si="7"/>
        <v>144500</v>
      </c>
      <c r="AD39">
        <f t="shared" si="8"/>
        <v>228260</v>
      </c>
      <c r="AE39" t="s">
        <v>111</v>
      </c>
      <c r="AF39">
        <v>55</v>
      </c>
      <c r="AG39">
        <v>1800</v>
      </c>
      <c r="AH39">
        <f t="shared" si="9"/>
        <v>140260</v>
      </c>
      <c r="AI39">
        <f t="shared" si="10"/>
        <v>162260</v>
      </c>
      <c r="AJ39">
        <f t="shared" si="11"/>
        <v>4240</v>
      </c>
      <c r="AK39">
        <v>180</v>
      </c>
      <c r="AL39">
        <f t="shared" si="12"/>
        <v>17739</v>
      </c>
      <c r="AM39" s="12">
        <f t="shared" si="13"/>
        <v>12.276124567474049</v>
      </c>
      <c r="AN39" s="13">
        <f t="shared" si="14"/>
        <v>8.145893229607081</v>
      </c>
    </row>
    <row r="40" spans="1:40" x14ac:dyDescent="0.3">
      <c r="A40" s="3" t="s">
        <v>43</v>
      </c>
      <c r="B40" s="3">
        <v>334.3</v>
      </c>
      <c r="C40" s="3">
        <v>120</v>
      </c>
      <c r="D40" s="3">
        <f t="shared" si="0"/>
        <v>40116</v>
      </c>
      <c r="E40" s="3" t="s">
        <v>104</v>
      </c>
      <c r="F40" s="3">
        <v>55</v>
      </c>
      <c r="G40" s="3">
        <v>1700</v>
      </c>
      <c r="H40" s="3">
        <f>G40*F40+D40</f>
        <v>133616</v>
      </c>
      <c r="I40" s="3">
        <f>F40*2200+D40</f>
        <v>161116</v>
      </c>
      <c r="J40" s="3" t="s">
        <v>112</v>
      </c>
      <c r="P40">
        <v>150</v>
      </c>
      <c r="Q40" s="11">
        <f t="shared" si="3"/>
        <v>14782.5</v>
      </c>
      <c r="R40" s="10">
        <f t="shared" si="4"/>
        <v>11.063420548437312</v>
      </c>
      <c r="S40" s="10">
        <f t="shared" si="5"/>
        <v>9.038795873499069</v>
      </c>
      <c r="T40" s="1"/>
      <c r="V40" t="s">
        <v>150</v>
      </c>
      <c r="W40">
        <v>539.70000000000005</v>
      </c>
      <c r="X40">
        <v>100</v>
      </c>
      <c r="Y40">
        <f t="shared" si="6"/>
        <v>53970.000000000007</v>
      </c>
      <c r="Z40" t="s">
        <v>105</v>
      </c>
      <c r="AA40">
        <v>115</v>
      </c>
      <c r="AB40">
        <v>1700</v>
      </c>
      <c r="AC40">
        <f t="shared" si="7"/>
        <v>195500</v>
      </c>
      <c r="AD40">
        <f t="shared" si="8"/>
        <v>306970</v>
      </c>
      <c r="AE40" t="s">
        <v>110</v>
      </c>
      <c r="AK40">
        <v>250</v>
      </c>
      <c r="AL40">
        <f t="shared" si="12"/>
        <v>24637.5</v>
      </c>
      <c r="AM40" s="12">
        <f t="shared" si="13"/>
        <v>12.602301790281331</v>
      </c>
      <c r="AN40" s="13">
        <f t="shared" si="14"/>
        <v>7.9350583460172501</v>
      </c>
    </row>
    <row r="41" spans="1:40" x14ac:dyDescent="0.3">
      <c r="A41" s="3" t="s">
        <v>44</v>
      </c>
      <c r="B41" s="3">
        <v>433.6</v>
      </c>
      <c r="C41" s="3">
        <v>120</v>
      </c>
      <c r="D41" s="3">
        <f t="shared" si="0"/>
        <v>52032</v>
      </c>
      <c r="E41" s="3" t="s">
        <v>103</v>
      </c>
      <c r="F41" s="3">
        <v>85</v>
      </c>
      <c r="G41" s="3">
        <v>1700</v>
      </c>
      <c r="H41" s="3">
        <f>G41*F41+D41</f>
        <v>196532</v>
      </c>
      <c r="I41" s="3">
        <f>F41*2200+D41</f>
        <v>239032</v>
      </c>
      <c r="J41" s="3" t="s">
        <v>111</v>
      </c>
      <c r="K41" s="3">
        <v>55</v>
      </c>
      <c r="L41" s="3">
        <v>1800</v>
      </c>
      <c r="M41" s="3">
        <f>L41*K41+D41</f>
        <v>151032</v>
      </c>
      <c r="N41" s="3">
        <f t="shared" si="1"/>
        <v>173032</v>
      </c>
      <c r="O41" s="3">
        <f t="shared" si="2"/>
        <v>45500</v>
      </c>
      <c r="P41">
        <v>180</v>
      </c>
      <c r="Q41" s="11">
        <f t="shared" si="3"/>
        <v>17739</v>
      </c>
      <c r="R41" s="10">
        <f t="shared" si="4"/>
        <v>9.0260110312824366</v>
      </c>
      <c r="S41" s="10">
        <f t="shared" si="5"/>
        <v>11.07909126782795</v>
      </c>
      <c r="T41" s="1"/>
      <c r="V41" t="s">
        <v>151</v>
      </c>
      <c r="W41">
        <v>612.6</v>
      </c>
      <c r="X41">
        <v>100</v>
      </c>
      <c r="Y41">
        <f t="shared" si="6"/>
        <v>61260</v>
      </c>
      <c r="Z41" t="s">
        <v>105</v>
      </c>
      <c r="AA41">
        <v>115</v>
      </c>
      <c r="AB41">
        <v>1700</v>
      </c>
      <c r="AC41">
        <f t="shared" si="7"/>
        <v>195500</v>
      </c>
      <c r="AD41">
        <f t="shared" si="8"/>
        <v>314260</v>
      </c>
      <c r="AE41" t="s">
        <v>110</v>
      </c>
      <c r="AK41">
        <v>250</v>
      </c>
      <c r="AL41">
        <f t="shared" si="12"/>
        <v>24637.5</v>
      </c>
      <c r="AM41" s="12">
        <f t="shared" si="13"/>
        <v>12.602301790281331</v>
      </c>
      <c r="AN41" s="13">
        <f t="shared" si="14"/>
        <v>7.9350583460172501</v>
      </c>
    </row>
    <row r="42" spans="1:40" x14ac:dyDescent="0.3">
      <c r="A42" s="3" t="s">
        <v>45</v>
      </c>
      <c r="B42" s="3">
        <v>441</v>
      </c>
      <c r="C42" s="3">
        <v>120</v>
      </c>
      <c r="D42" s="3">
        <f t="shared" si="0"/>
        <v>52920</v>
      </c>
      <c r="E42" s="3" t="s">
        <v>103</v>
      </c>
      <c r="F42" s="3">
        <v>85</v>
      </c>
      <c r="G42" s="3">
        <v>1700</v>
      </c>
      <c r="H42" s="3">
        <f>G42*F42+D42</f>
        <v>197420</v>
      </c>
      <c r="I42" s="3">
        <f>F42*2200+D42</f>
        <v>239920</v>
      </c>
      <c r="J42" s="3" t="s">
        <v>111</v>
      </c>
      <c r="K42" s="3">
        <v>55</v>
      </c>
      <c r="L42" s="3">
        <v>1800</v>
      </c>
      <c r="M42" s="3">
        <f>L42*K42+D42</f>
        <v>151920</v>
      </c>
      <c r="N42" s="3">
        <f t="shared" si="1"/>
        <v>173920</v>
      </c>
      <c r="O42" s="3">
        <f t="shared" si="2"/>
        <v>45500</v>
      </c>
      <c r="P42">
        <v>180</v>
      </c>
      <c r="Q42" s="11">
        <f t="shared" si="3"/>
        <v>17739</v>
      </c>
      <c r="R42" s="10">
        <f t="shared" si="4"/>
        <v>8.9854118123796987</v>
      </c>
      <c r="S42" s="10">
        <f t="shared" si="5"/>
        <v>11.129150459439654</v>
      </c>
      <c r="T42" s="1"/>
      <c r="V42" t="s">
        <v>152</v>
      </c>
      <c r="W42">
        <v>422.6</v>
      </c>
      <c r="X42">
        <v>100</v>
      </c>
      <c r="Y42">
        <f t="shared" si="6"/>
        <v>42260</v>
      </c>
      <c r="Z42" t="s">
        <v>106</v>
      </c>
      <c r="AA42">
        <v>85</v>
      </c>
      <c r="AB42">
        <v>1700</v>
      </c>
      <c r="AC42">
        <f t="shared" si="7"/>
        <v>144500</v>
      </c>
      <c r="AD42">
        <f t="shared" si="8"/>
        <v>229260</v>
      </c>
      <c r="AE42" t="s">
        <v>111</v>
      </c>
      <c r="AF42">
        <v>55</v>
      </c>
      <c r="AG42">
        <v>1800</v>
      </c>
      <c r="AH42">
        <f t="shared" si="9"/>
        <v>141260</v>
      </c>
      <c r="AI42">
        <f t="shared" si="10"/>
        <v>163260</v>
      </c>
      <c r="AJ42">
        <f t="shared" si="11"/>
        <v>3240</v>
      </c>
      <c r="AK42">
        <v>180</v>
      </c>
      <c r="AL42">
        <f t="shared" si="12"/>
        <v>17739</v>
      </c>
      <c r="AM42" s="12">
        <f t="shared" si="13"/>
        <v>12.276124567474049</v>
      </c>
      <c r="AN42" s="13">
        <f t="shared" si="14"/>
        <v>8.145893229607081</v>
      </c>
    </row>
    <row r="43" spans="1:40" x14ac:dyDescent="0.3">
      <c r="A43" s="3" t="s">
        <v>46</v>
      </c>
      <c r="B43" s="3">
        <v>476.4</v>
      </c>
      <c r="C43" s="3">
        <v>120</v>
      </c>
      <c r="D43" s="3">
        <f t="shared" si="0"/>
        <v>57168</v>
      </c>
      <c r="E43" s="3" t="s">
        <v>103</v>
      </c>
      <c r="F43" s="3">
        <v>115</v>
      </c>
      <c r="G43" s="3">
        <v>1700</v>
      </c>
      <c r="H43" s="3">
        <f>G43*F43+D43</f>
        <v>252668</v>
      </c>
      <c r="I43" s="3">
        <f>F43*2200+D43</f>
        <v>310168</v>
      </c>
      <c r="J43" s="3" t="s">
        <v>110</v>
      </c>
      <c r="P43">
        <v>250</v>
      </c>
      <c r="Q43" s="11">
        <f t="shared" si="3"/>
        <v>24637.5</v>
      </c>
      <c r="R43" s="10">
        <f t="shared" si="4"/>
        <v>9.7509379897731403</v>
      </c>
      <c r="S43" s="10">
        <f t="shared" si="5"/>
        <v>10.255423642820903</v>
      </c>
      <c r="T43" s="1"/>
      <c r="V43" t="s">
        <v>153</v>
      </c>
      <c r="W43">
        <v>487.1</v>
      </c>
      <c r="X43">
        <v>100</v>
      </c>
      <c r="Y43">
        <f t="shared" si="6"/>
        <v>48710</v>
      </c>
      <c r="Z43" t="s">
        <v>105</v>
      </c>
      <c r="AA43">
        <v>115</v>
      </c>
      <c r="AB43">
        <v>1700</v>
      </c>
      <c r="AC43">
        <f t="shared" si="7"/>
        <v>195500</v>
      </c>
      <c r="AD43">
        <f t="shared" si="8"/>
        <v>301710</v>
      </c>
      <c r="AE43" t="s">
        <v>110</v>
      </c>
      <c r="AK43">
        <v>250</v>
      </c>
      <c r="AL43">
        <f t="shared" si="12"/>
        <v>24637.5</v>
      </c>
      <c r="AM43" s="12">
        <f t="shared" si="13"/>
        <v>12.602301790281331</v>
      </c>
      <c r="AN43" s="13">
        <f t="shared" si="14"/>
        <v>7.9350583460172501</v>
      </c>
    </row>
    <row r="44" spans="1:40" x14ac:dyDescent="0.3">
      <c r="A44" s="3" t="s">
        <v>47</v>
      </c>
      <c r="B44" s="3">
        <v>353.5</v>
      </c>
      <c r="C44" s="3">
        <v>120</v>
      </c>
      <c r="D44" s="3">
        <f t="shared" si="0"/>
        <v>42420</v>
      </c>
      <c r="E44" s="3" t="s">
        <v>103</v>
      </c>
      <c r="F44" s="3">
        <v>85</v>
      </c>
      <c r="G44" s="3">
        <v>1700</v>
      </c>
      <c r="H44" s="3">
        <f>G44*F44+D44</f>
        <v>186920</v>
      </c>
      <c r="I44" s="3">
        <f>F44*2200+D44</f>
        <v>229420</v>
      </c>
      <c r="J44" s="3" t="s">
        <v>111</v>
      </c>
      <c r="K44" s="3">
        <v>55</v>
      </c>
      <c r="L44" s="3">
        <v>1800</v>
      </c>
      <c r="M44" s="3">
        <f>L44*K44+D44</f>
        <v>141420</v>
      </c>
      <c r="N44" s="3">
        <f t="shared" si="1"/>
        <v>163420</v>
      </c>
      <c r="O44" s="3">
        <f t="shared" si="2"/>
        <v>45500</v>
      </c>
      <c r="P44">
        <v>180</v>
      </c>
      <c r="Q44" s="11">
        <f t="shared" si="3"/>
        <v>17739</v>
      </c>
      <c r="R44" s="10">
        <f t="shared" si="4"/>
        <v>9.4901562165632356</v>
      </c>
      <c r="S44" s="10">
        <f t="shared" si="5"/>
        <v>10.537234342409381</v>
      </c>
      <c r="T44" s="1"/>
      <c r="V44" t="s">
        <v>154</v>
      </c>
      <c r="W44">
        <v>436.5</v>
      </c>
      <c r="X44">
        <v>100</v>
      </c>
      <c r="Y44">
        <f t="shared" si="6"/>
        <v>43650</v>
      </c>
      <c r="Z44" t="s">
        <v>106</v>
      </c>
      <c r="AA44">
        <v>85</v>
      </c>
      <c r="AB44">
        <v>1700</v>
      </c>
      <c r="AC44">
        <f t="shared" si="7"/>
        <v>144500</v>
      </c>
      <c r="AD44">
        <f t="shared" si="8"/>
        <v>230650</v>
      </c>
      <c r="AE44" t="s">
        <v>111</v>
      </c>
      <c r="AF44">
        <v>55</v>
      </c>
      <c r="AG44">
        <v>1800</v>
      </c>
      <c r="AH44">
        <f t="shared" si="9"/>
        <v>142650</v>
      </c>
      <c r="AI44">
        <f t="shared" si="10"/>
        <v>164650</v>
      </c>
      <c r="AJ44">
        <f t="shared" si="11"/>
        <v>1850</v>
      </c>
      <c r="AK44">
        <v>180</v>
      </c>
      <c r="AL44">
        <f t="shared" si="12"/>
        <v>17739</v>
      </c>
      <c r="AM44" s="12">
        <f t="shared" si="13"/>
        <v>12.276124567474049</v>
      </c>
      <c r="AN44" s="13">
        <f t="shared" si="14"/>
        <v>8.145893229607081</v>
      </c>
    </row>
    <row r="45" spans="1:40" x14ac:dyDescent="0.3">
      <c r="A45" s="3" t="s">
        <v>48</v>
      </c>
      <c r="B45" s="3">
        <v>626.5</v>
      </c>
      <c r="C45" s="3">
        <v>120</v>
      </c>
      <c r="D45" s="3">
        <f t="shared" si="0"/>
        <v>75180</v>
      </c>
      <c r="E45" s="3" t="s">
        <v>103</v>
      </c>
      <c r="F45" s="3">
        <v>115</v>
      </c>
      <c r="G45" s="3">
        <v>1700</v>
      </c>
      <c r="H45" s="3">
        <f>G45*F45+D45</f>
        <v>270680</v>
      </c>
      <c r="I45" s="3">
        <f>F45*2200+D45</f>
        <v>328180</v>
      </c>
      <c r="J45" s="3" t="s">
        <v>110</v>
      </c>
      <c r="P45">
        <v>250</v>
      </c>
      <c r="Q45" s="11">
        <f t="shared" si="3"/>
        <v>24637.5</v>
      </c>
      <c r="R45" s="10">
        <f t="shared" si="4"/>
        <v>9.1020762524013605</v>
      </c>
      <c r="S45" s="10">
        <f t="shared" si="5"/>
        <v>10.986504312531709</v>
      </c>
      <c r="T45" s="1"/>
      <c r="V45" t="s">
        <v>155</v>
      </c>
      <c r="W45">
        <v>646.29999999999995</v>
      </c>
      <c r="X45">
        <v>100</v>
      </c>
      <c r="Y45">
        <f t="shared" si="6"/>
        <v>64629.999999999993</v>
      </c>
      <c r="Z45" t="s">
        <v>105</v>
      </c>
      <c r="AA45">
        <v>115</v>
      </c>
      <c r="AB45">
        <v>1700</v>
      </c>
      <c r="AC45">
        <f t="shared" si="7"/>
        <v>195500</v>
      </c>
      <c r="AD45">
        <f t="shared" si="8"/>
        <v>317630</v>
      </c>
      <c r="AE45" t="s">
        <v>110</v>
      </c>
      <c r="AK45">
        <v>250</v>
      </c>
      <c r="AL45">
        <f t="shared" si="12"/>
        <v>24637.5</v>
      </c>
      <c r="AM45" s="12">
        <f t="shared" si="13"/>
        <v>12.602301790281331</v>
      </c>
      <c r="AN45" s="13">
        <f t="shared" si="14"/>
        <v>7.9350583460172501</v>
      </c>
    </row>
    <row r="46" spans="1:40" x14ac:dyDescent="0.3">
      <c r="A46" s="3" t="s">
        <v>49</v>
      </c>
      <c r="B46" s="3">
        <v>721.9</v>
      </c>
      <c r="C46" s="3">
        <v>120</v>
      </c>
      <c r="D46" s="3">
        <f t="shared" si="0"/>
        <v>86628</v>
      </c>
      <c r="E46" s="3" t="s">
        <v>102</v>
      </c>
      <c r="F46" s="3">
        <v>156.69999999999999</v>
      </c>
      <c r="G46" s="3">
        <v>1700</v>
      </c>
      <c r="H46" s="3">
        <f>G46*F46+D46</f>
        <v>353018</v>
      </c>
      <c r="I46" s="3">
        <f>F46*2200+D46</f>
        <v>431368</v>
      </c>
      <c r="J46" s="3" t="s">
        <v>109</v>
      </c>
      <c r="K46" s="3">
        <v>110</v>
      </c>
      <c r="L46" s="3">
        <v>1800</v>
      </c>
      <c r="M46" s="3">
        <f>L46*K46+D46</f>
        <v>284628</v>
      </c>
      <c r="N46" s="3">
        <f t="shared" si="1"/>
        <v>328628</v>
      </c>
      <c r="O46" s="3">
        <f t="shared" si="2"/>
        <v>68390</v>
      </c>
      <c r="P46">
        <v>300</v>
      </c>
      <c r="Q46" s="11">
        <f t="shared" si="3"/>
        <v>29565</v>
      </c>
      <c r="R46" s="10">
        <f t="shared" si="4"/>
        <v>8.3749270575438075</v>
      </c>
      <c r="S46" s="10">
        <f t="shared" si="5"/>
        <v>11.94040250295958</v>
      </c>
      <c r="T46" s="1"/>
      <c r="V46" t="s">
        <v>156</v>
      </c>
      <c r="W46">
        <v>400.2</v>
      </c>
      <c r="X46">
        <v>100</v>
      </c>
      <c r="Y46">
        <f t="shared" si="6"/>
        <v>40020</v>
      </c>
      <c r="Z46" t="s">
        <v>106</v>
      </c>
      <c r="AA46">
        <v>85</v>
      </c>
      <c r="AB46">
        <v>1700</v>
      </c>
      <c r="AC46">
        <f t="shared" si="7"/>
        <v>144500</v>
      </c>
      <c r="AD46">
        <f t="shared" si="8"/>
        <v>227020</v>
      </c>
      <c r="AE46" t="s">
        <v>111</v>
      </c>
      <c r="AF46">
        <v>55</v>
      </c>
      <c r="AG46">
        <v>1800</v>
      </c>
      <c r="AH46">
        <f t="shared" si="9"/>
        <v>139020</v>
      </c>
      <c r="AI46">
        <f t="shared" si="10"/>
        <v>161020</v>
      </c>
      <c r="AJ46">
        <f t="shared" si="11"/>
        <v>5480</v>
      </c>
      <c r="AK46">
        <v>180</v>
      </c>
      <c r="AL46">
        <f t="shared" si="12"/>
        <v>17739</v>
      </c>
      <c r="AM46" s="12">
        <f t="shared" si="13"/>
        <v>12.276124567474049</v>
      </c>
      <c r="AN46" s="13">
        <f t="shared" si="14"/>
        <v>8.145893229607081</v>
      </c>
    </row>
    <row r="47" spans="1:40" x14ac:dyDescent="0.3">
      <c r="A47" s="3" t="s">
        <v>50</v>
      </c>
      <c r="B47" s="3">
        <v>789.1</v>
      </c>
      <c r="C47" s="3">
        <v>120</v>
      </c>
      <c r="D47" s="3">
        <f t="shared" si="0"/>
        <v>94692</v>
      </c>
      <c r="E47" s="3" t="s">
        <v>102</v>
      </c>
      <c r="F47" s="3">
        <v>156.69999999999999</v>
      </c>
      <c r="G47" s="3">
        <v>1700</v>
      </c>
      <c r="H47" s="3">
        <f>G47*F47+D47</f>
        <v>361082</v>
      </c>
      <c r="I47" s="3">
        <f>F47*2200+D47</f>
        <v>439432</v>
      </c>
      <c r="J47" s="3" t="s">
        <v>109</v>
      </c>
      <c r="K47" s="3">
        <v>110</v>
      </c>
      <c r="L47" s="3">
        <v>1800</v>
      </c>
      <c r="M47" s="3">
        <f>L47*K47+D47</f>
        <v>292692</v>
      </c>
      <c r="N47" s="3">
        <f t="shared" si="1"/>
        <v>336692</v>
      </c>
      <c r="O47" s="3">
        <f t="shared" si="2"/>
        <v>68390</v>
      </c>
      <c r="P47">
        <v>300</v>
      </c>
      <c r="Q47" s="11">
        <f t="shared" si="3"/>
        <v>29565</v>
      </c>
      <c r="R47" s="10">
        <f t="shared" si="4"/>
        <v>8.1878908391999605</v>
      </c>
      <c r="S47" s="10">
        <f t="shared" si="5"/>
        <v>12.213157449687131</v>
      </c>
      <c r="T47" s="1"/>
    </row>
    <row r="48" spans="1:40" x14ac:dyDescent="0.3">
      <c r="A48" s="3" t="s">
        <v>51</v>
      </c>
      <c r="B48" s="3">
        <v>918.3</v>
      </c>
      <c r="C48" s="3">
        <v>120</v>
      </c>
      <c r="D48" s="3">
        <f t="shared" si="0"/>
        <v>110196</v>
      </c>
      <c r="E48" s="3" t="s">
        <v>102</v>
      </c>
      <c r="F48" s="3">
        <v>156.69999999999999</v>
      </c>
      <c r="G48" s="3">
        <v>1700</v>
      </c>
      <c r="H48" s="3">
        <f>G48*F48+D48</f>
        <v>376586</v>
      </c>
      <c r="I48" s="3">
        <f>F48*2200+D48</f>
        <v>454936</v>
      </c>
      <c r="J48" s="3" t="s">
        <v>109</v>
      </c>
      <c r="K48" s="3">
        <v>110</v>
      </c>
      <c r="L48" s="3">
        <v>1800</v>
      </c>
      <c r="M48" s="3">
        <f>L48*K48+D48</f>
        <v>308196</v>
      </c>
      <c r="N48" s="3">
        <f t="shared" si="1"/>
        <v>352196</v>
      </c>
      <c r="O48" s="3">
        <f t="shared" si="2"/>
        <v>68390</v>
      </c>
      <c r="P48">
        <v>300</v>
      </c>
      <c r="Q48" s="11">
        <f t="shared" si="3"/>
        <v>29565</v>
      </c>
      <c r="R48" s="10">
        <f t="shared" si="4"/>
        <v>7.8507963652392805</v>
      </c>
      <c r="S48" s="10">
        <f t="shared" si="5"/>
        <v>12.737561305597835</v>
      </c>
      <c r="T48" s="1"/>
    </row>
    <row r="49" spans="1:20" x14ac:dyDescent="0.3">
      <c r="A49" s="3" t="s">
        <v>52</v>
      </c>
      <c r="B49" s="3">
        <v>744.7</v>
      </c>
      <c r="C49" s="3">
        <v>120</v>
      </c>
      <c r="D49" s="3">
        <f t="shared" si="0"/>
        <v>89364</v>
      </c>
      <c r="E49" s="3" t="s">
        <v>102</v>
      </c>
      <c r="F49" s="3">
        <v>156.69999999999999</v>
      </c>
      <c r="G49" s="3">
        <v>1700</v>
      </c>
      <c r="H49" s="3">
        <f>G49*F49+D49</f>
        <v>355754</v>
      </c>
      <c r="I49" s="3">
        <f>F49*2200+D49</f>
        <v>434104</v>
      </c>
      <c r="J49" s="3" t="s">
        <v>109</v>
      </c>
      <c r="K49" s="3">
        <v>110</v>
      </c>
      <c r="L49" s="3">
        <v>1800</v>
      </c>
      <c r="M49" s="3">
        <f>L49*K49+D49</f>
        <v>287364</v>
      </c>
      <c r="N49" s="3">
        <f t="shared" si="1"/>
        <v>331364</v>
      </c>
      <c r="O49" s="3">
        <f t="shared" si="2"/>
        <v>68390</v>
      </c>
      <c r="P49">
        <v>300</v>
      </c>
      <c r="Q49" s="11">
        <f t="shared" si="3"/>
        <v>29565</v>
      </c>
      <c r="R49" s="10">
        <f t="shared" si="4"/>
        <v>8.310517942173524</v>
      </c>
      <c r="S49" s="10">
        <f t="shared" si="5"/>
        <v>12.032944359884999</v>
      </c>
      <c r="T49" s="1"/>
    </row>
    <row r="50" spans="1:20" x14ac:dyDescent="0.3">
      <c r="A50" s="3" t="s">
        <v>53</v>
      </c>
      <c r="B50" s="3">
        <v>751.9</v>
      </c>
      <c r="C50" s="3">
        <v>120</v>
      </c>
      <c r="D50" s="3">
        <f t="shared" si="0"/>
        <v>90228</v>
      </c>
      <c r="E50" s="3" t="s">
        <v>102</v>
      </c>
      <c r="F50" s="3">
        <v>156.69999999999999</v>
      </c>
      <c r="G50" s="3">
        <v>1700</v>
      </c>
      <c r="H50" s="3">
        <f>G50*F50+D50</f>
        <v>356618</v>
      </c>
      <c r="I50" s="3">
        <f>F50*2200+D50</f>
        <v>434968</v>
      </c>
      <c r="J50" s="3" t="s">
        <v>109</v>
      </c>
      <c r="K50" s="3">
        <v>110</v>
      </c>
      <c r="L50" s="3">
        <v>1800</v>
      </c>
      <c r="M50" s="3">
        <f>L50*K50+D50</f>
        <v>288228</v>
      </c>
      <c r="N50" s="3">
        <f t="shared" si="1"/>
        <v>332228</v>
      </c>
      <c r="O50" s="3">
        <f t="shared" si="2"/>
        <v>68390</v>
      </c>
      <c r="P50">
        <v>300</v>
      </c>
      <c r="Q50" s="11">
        <f t="shared" si="3"/>
        <v>29565</v>
      </c>
      <c r="R50" s="10">
        <f t="shared" si="4"/>
        <v>8.2903835476616443</v>
      </c>
      <c r="S50" s="10">
        <f t="shared" si="5"/>
        <v>12.062168104177237</v>
      </c>
      <c r="T50" s="1"/>
    </row>
  </sheetData>
  <mergeCells count="2">
    <mergeCell ref="E1:J1"/>
    <mergeCell ref="Y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0"/>
  <sheetViews>
    <sheetView tabSelected="1" topLeftCell="Q1" zoomScale="90" zoomScaleNormal="90" workbookViewId="0">
      <selection activeCell="AN18" sqref="AN18"/>
    </sheetView>
  </sheetViews>
  <sheetFormatPr defaultRowHeight="14.4" x14ac:dyDescent="0.3"/>
  <cols>
    <col min="1" max="1" width="6.88671875" customWidth="1"/>
    <col min="2" max="2" width="7.77734375" customWidth="1"/>
    <col min="4" max="4" width="10.33203125" customWidth="1"/>
    <col min="10" max="10" width="21.88671875" customWidth="1"/>
    <col min="24" max="24" width="12.44140625" customWidth="1"/>
    <col min="25" max="25" width="11.109375" customWidth="1"/>
    <col min="30" max="30" width="23.44140625" customWidth="1"/>
  </cols>
  <sheetData>
    <row r="1" spans="1:39" ht="18.600000000000001" x14ac:dyDescent="0.4">
      <c r="D1" s="7" t="s">
        <v>198</v>
      </c>
      <c r="E1" s="8"/>
      <c r="F1" s="8"/>
      <c r="G1" s="8"/>
      <c r="H1" s="8"/>
      <c r="I1" s="8"/>
      <c r="J1" s="8"/>
      <c r="X1" s="9" t="s">
        <v>199</v>
      </c>
      <c r="Y1" s="8"/>
      <c r="Z1" s="8"/>
      <c r="AA1" s="8"/>
      <c r="AB1" s="8"/>
      <c r="AC1" s="8"/>
      <c r="AD1" s="8"/>
    </row>
    <row r="2" spans="1:39" ht="72" x14ac:dyDescent="0.3">
      <c r="A2" s="2" t="s">
        <v>0</v>
      </c>
      <c r="B2" s="2" t="s">
        <v>1</v>
      </c>
      <c r="C2" s="14" t="s">
        <v>190</v>
      </c>
      <c r="D2" s="14" t="s">
        <v>191</v>
      </c>
      <c r="E2" s="2" t="s">
        <v>2</v>
      </c>
      <c r="F2" s="2" t="s">
        <v>3</v>
      </c>
      <c r="G2" s="2" t="s">
        <v>4</v>
      </c>
      <c r="H2" s="14" t="s">
        <v>194</v>
      </c>
      <c r="I2" s="2" t="s">
        <v>200</v>
      </c>
      <c r="J2" s="2" t="s">
        <v>5</v>
      </c>
      <c r="K2" s="14" t="s">
        <v>192</v>
      </c>
      <c r="L2" s="14" t="s">
        <v>193</v>
      </c>
      <c r="M2" s="14" t="s">
        <v>194</v>
      </c>
      <c r="N2" s="2" t="s">
        <v>200</v>
      </c>
      <c r="O2" s="14" t="s">
        <v>195</v>
      </c>
      <c r="P2" s="2" t="s">
        <v>201</v>
      </c>
      <c r="Q2" s="2" t="s">
        <v>202</v>
      </c>
      <c r="R2" s="2" t="s">
        <v>203</v>
      </c>
      <c r="S2" s="2" t="s">
        <v>204</v>
      </c>
      <c r="T2" s="4"/>
      <c r="U2" s="2" t="s">
        <v>0</v>
      </c>
      <c r="V2" s="2" t="s">
        <v>1</v>
      </c>
      <c r="W2" s="14" t="s">
        <v>190</v>
      </c>
      <c r="X2" s="14" t="s">
        <v>191</v>
      </c>
      <c r="Y2" s="2" t="s">
        <v>2</v>
      </c>
      <c r="Z2" s="2" t="s">
        <v>3</v>
      </c>
      <c r="AA2" s="2" t="s">
        <v>4</v>
      </c>
      <c r="AB2" s="14" t="s">
        <v>194</v>
      </c>
      <c r="AC2" s="2" t="s">
        <v>200</v>
      </c>
      <c r="AD2" s="2" t="s">
        <v>5</v>
      </c>
      <c r="AE2" s="14" t="s">
        <v>192</v>
      </c>
      <c r="AF2" s="14" t="s">
        <v>193</v>
      </c>
      <c r="AG2" s="14" t="s">
        <v>194</v>
      </c>
      <c r="AH2" s="2" t="s">
        <v>200</v>
      </c>
      <c r="AI2" s="14" t="s">
        <v>195</v>
      </c>
      <c r="AJ2" s="2" t="s">
        <v>201</v>
      </c>
      <c r="AK2" s="2" t="s">
        <v>202</v>
      </c>
      <c r="AL2" s="2" t="s">
        <v>203</v>
      </c>
      <c r="AM2" s="2" t="s">
        <v>204</v>
      </c>
    </row>
    <row r="3" spans="1:39" x14ac:dyDescent="0.3">
      <c r="A3" t="s">
        <v>54</v>
      </c>
      <c r="B3">
        <v>384</v>
      </c>
      <c r="C3">
        <v>80</v>
      </c>
      <c r="D3">
        <f>C3*B3</f>
        <v>30720</v>
      </c>
      <c r="E3" t="s">
        <v>106</v>
      </c>
      <c r="F3">
        <v>85</v>
      </c>
      <c r="G3">
        <v>1700</v>
      </c>
      <c r="H3">
        <f>G3*F3+D3</f>
        <v>175220</v>
      </c>
      <c r="J3" t="s">
        <v>111</v>
      </c>
      <c r="K3">
        <v>55</v>
      </c>
      <c r="L3">
        <v>1800</v>
      </c>
      <c r="M3">
        <f>L3*K3+D3</f>
        <v>129720</v>
      </c>
      <c r="O3">
        <f>H3-M3</f>
        <v>45500</v>
      </c>
      <c r="P3">
        <v>180</v>
      </c>
      <c r="Q3">
        <f>(P3*365*0.45)*0.6</f>
        <v>17739</v>
      </c>
      <c r="R3" s="13">
        <f>(Q3/H3)*100</f>
        <v>10.123844310010274</v>
      </c>
      <c r="S3" s="13">
        <f>H3/Q3</f>
        <v>9.8776706691470775</v>
      </c>
      <c r="T3" s="4"/>
      <c r="U3" t="s">
        <v>157</v>
      </c>
      <c r="V3">
        <v>649.29999999999995</v>
      </c>
      <c r="W3">
        <v>60</v>
      </c>
      <c r="X3">
        <f>W3*V3</f>
        <v>38958</v>
      </c>
      <c r="Y3" t="s">
        <v>105</v>
      </c>
      <c r="Z3">
        <v>115</v>
      </c>
      <c r="AA3">
        <v>1700</v>
      </c>
      <c r="AB3">
        <f>AA3*Z3+X3</f>
        <v>234458</v>
      </c>
      <c r="AC3">
        <f>Z3*2200</f>
        <v>253000</v>
      </c>
      <c r="AD3" t="s">
        <v>205</v>
      </c>
      <c r="AJ3">
        <v>200</v>
      </c>
      <c r="AK3">
        <f>(AJ3*365*0.45)*0.6</f>
        <v>19710</v>
      </c>
      <c r="AL3" s="13">
        <f>(AK3/AB3)*100</f>
        <v>8.4066229345980936</v>
      </c>
      <c r="AM3" s="13">
        <f>AB3/AK3</f>
        <v>11.895383054287164</v>
      </c>
    </row>
    <row r="4" spans="1:39" x14ac:dyDescent="0.3">
      <c r="A4" t="s">
        <v>55</v>
      </c>
      <c r="B4">
        <v>509.5</v>
      </c>
      <c r="C4">
        <v>80</v>
      </c>
      <c r="D4">
        <f t="shared" ref="D4:D50" si="0">C4*B4</f>
        <v>40760</v>
      </c>
      <c r="E4" t="s">
        <v>105</v>
      </c>
      <c r="F4">
        <v>115</v>
      </c>
      <c r="G4">
        <v>1700</v>
      </c>
      <c r="H4">
        <f t="shared" ref="H4:H50" si="1">G4*F4+D4</f>
        <v>236260</v>
      </c>
      <c r="J4" t="s">
        <v>205</v>
      </c>
      <c r="P4">
        <v>220</v>
      </c>
      <c r="Q4">
        <f t="shared" ref="Q4:Q50" si="2">(P4*365*0.45)*0.6</f>
        <v>21681</v>
      </c>
      <c r="R4" s="13">
        <f t="shared" ref="R4:R50" si="3">(Q4/H4)*100</f>
        <v>9.1767544230932039</v>
      </c>
      <c r="S4" s="13">
        <f t="shared" ref="S4:S50" si="4">H4/Q4</f>
        <v>10.897098842304322</v>
      </c>
      <c r="T4" s="4"/>
      <c r="U4" t="s">
        <v>158</v>
      </c>
      <c r="V4">
        <v>901.9</v>
      </c>
      <c r="W4">
        <v>60</v>
      </c>
      <c r="X4">
        <f t="shared" ref="X4:X33" si="5">W4*V4</f>
        <v>54114</v>
      </c>
      <c r="Y4" t="s">
        <v>108</v>
      </c>
      <c r="Z4">
        <v>156.69999999999999</v>
      </c>
      <c r="AA4">
        <v>1700</v>
      </c>
      <c r="AB4">
        <f t="shared" ref="AB4:AB33" si="6">AA4*Z4+X4</f>
        <v>320504</v>
      </c>
      <c r="AC4">
        <f t="shared" ref="AC4:AC33" si="7">Z4*2200</f>
        <v>344740</v>
      </c>
      <c r="AD4" t="s">
        <v>109</v>
      </c>
      <c r="AE4">
        <v>110</v>
      </c>
      <c r="AF4">
        <v>1800</v>
      </c>
      <c r="AG4">
        <f>AF4*AE4+X4</f>
        <v>252114</v>
      </c>
      <c r="AH4">
        <f>AE4*2200+X4</f>
        <v>296114</v>
      </c>
      <c r="AI4">
        <f>AB4-AG4</f>
        <v>68390</v>
      </c>
      <c r="AJ4">
        <v>280</v>
      </c>
      <c r="AK4">
        <f t="shared" ref="AK4:AK33" si="8">(AJ4*365*0.45)*0.6</f>
        <v>27594</v>
      </c>
      <c r="AL4" s="13">
        <f t="shared" ref="AL4:AL33" si="9">(AK4/AB4)*100</f>
        <v>8.6095649352270165</v>
      </c>
      <c r="AM4" s="13">
        <f t="shared" ref="AM4:AM33" si="10">AB4/AK4</f>
        <v>11.614988765673697</v>
      </c>
    </row>
    <row r="5" spans="1:39" x14ac:dyDescent="0.3">
      <c r="A5" t="s">
        <v>56</v>
      </c>
      <c r="B5">
        <v>599.20000000000005</v>
      </c>
      <c r="C5">
        <v>80</v>
      </c>
      <c r="D5">
        <f t="shared" si="0"/>
        <v>47936</v>
      </c>
      <c r="E5" t="s">
        <v>105</v>
      </c>
      <c r="F5">
        <v>115</v>
      </c>
      <c r="G5">
        <v>1700</v>
      </c>
      <c r="H5">
        <f t="shared" si="1"/>
        <v>243436</v>
      </c>
      <c r="J5" t="s">
        <v>205</v>
      </c>
      <c r="P5">
        <v>220</v>
      </c>
      <c r="Q5">
        <f t="shared" si="2"/>
        <v>21681</v>
      </c>
      <c r="R5" s="13">
        <f t="shared" si="3"/>
        <v>8.9062422977702553</v>
      </c>
      <c r="S5" s="13">
        <f t="shared" si="4"/>
        <v>11.228079885614132</v>
      </c>
      <c r="T5" s="4"/>
      <c r="U5" t="s">
        <v>159</v>
      </c>
      <c r="V5">
        <v>514.20000000000005</v>
      </c>
      <c r="W5">
        <v>60</v>
      </c>
      <c r="X5">
        <f t="shared" si="5"/>
        <v>30852.000000000004</v>
      </c>
      <c r="Y5" t="s">
        <v>105</v>
      </c>
      <c r="Z5">
        <v>115</v>
      </c>
      <c r="AA5">
        <v>1700</v>
      </c>
      <c r="AB5">
        <f t="shared" si="6"/>
        <v>226352</v>
      </c>
      <c r="AC5">
        <f t="shared" si="7"/>
        <v>253000</v>
      </c>
      <c r="AD5" t="s">
        <v>102</v>
      </c>
      <c r="AJ5">
        <v>200</v>
      </c>
      <c r="AK5">
        <f t="shared" si="8"/>
        <v>19710</v>
      </c>
      <c r="AL5" s="13">
        <f t="shared" si="9"/>
        <v>8.7076765391955888</v>
      </c>
      <c r="AM5" s="13">
        <f t="shared" si="10"/>
        <v>11.484119736174531</v>
      </c>
    </row>
    <row r="6" spans="1:39" x14ac:dyDescent="0.3">
      <c r="A6" t="s">
        <v>57</v>
      </c>
      <c r="B6">
        <v>565.29999999999995</v>
      </c>
      <c r="C6">
        <v>80</v>
      </c>
      <c r="D6">
        <f t="shared" si="0"/>
        <v>45224</v>
      </c>
      <c r="E6" t="s">
        <v>105</v>
      </c>
      <c r="F6">
        <v>115</v>
      </c>
      <c r="G6">
        <v>1700</v>
      </c>
      <c r="H6">
        <f t="shared" si="1"/>
        <v>240724</v>
      </c>
      <c r="J6" t="s">
        <v>205</v>
      </c>
      <c r="P6">
        <v>220</v>
      </c>
      <c r="Q6">
        <f t="shared" si="2"/>
        <v>21681</v>
      </c>
      <c r="R6" s="13">
        <f t="shared" si="3"/>
        <v>9.0065801498811915</v>
      </c>
      <c r="S6" s="13">
        <f t="shared" si="4"/>
        <v>11.102993404363268</v>
      </c>
      <c r="T6" s="4"/>
      <c r="U6" t="s">
        <v>160</v>
      </c>
      <c r="V6">
        <v>337.5</v>
      </c>
      <c r="W6">
        <v>60</v>
      </c>
      <c r="X6">
        <f t="shared" si="5"/>
        <v>20250</v>
      </c>
      <c r="Y6" t="s">
        <v>188</v>
      </c>
      <c r="Z6">
        <v>55</v>
      </c>
      <c r="AA6">
        <v>1700</v>
      </c>
      <c r="AB6">
        <f t="shared" si="6"/>
        <v>113750</v>
      </c>
      <c r="AC6">
        <f t="shared" si="7"/>
        <v>121000</v>
      </c>
      <c r="AD6" t="s">
        <v>111</v>
      </c>
      <c r="AJ6">
        <v>120</v>
      </c>
      <c r="AK6">
        <f t="shared" si="8"/>
        <v>11826</v>
      </c>
      <c r="AL6" s="13">
        <f t="shared" si="9"/>
        <v>10.396483516483517</v>
      </c>
      <c r="AM6" s="13">
        <f t="shared" si="10"/>
        <v>9.6186369017419242</v>
      </c>
    </row>
    <row r="7" spans="1:39" x14ac:dyDescent="0.3">
      <c r="A7" t="s">
        <v>58</v>
      </c>
      <c r="B7">
        <v>491.1</v>
      </c>
      <c r="C7">
        <v>80</v>
      </c>
      <c r="D7">
        <f t="shared" si="0"/>
        <v>39288</v>
      </c>
      <c r="E7" t="s">
        <v>105</v>
      </c>
      <c r="F7">
        <v>115</v>
      </c>
      <c r="G7">
        <v>1700</v>
      </c>
      <c r="H7">
        <f t="shared" si="1"/>
        <v>234788</v>
      </c>
      <c r="J7" t="s">
        <v>205</v>
      </c>
      <c r="P7">
        <v>220</v>
      </c>
      <c r="Q7">
        <f t="shared" si="2"/>
        <v>21681</v>
      </c>
      <c r="R7" s="13">
        <f t="shared" si="3"/>
        <v>9.2342879533877369</v>
      </c>
      <c r="S7" s="13">
        <f t="shared" si="4"/>
        <v>10.829205294958719</v>
      </c>
      <c r="T7" s="4"/>
      <c r="U7" t="s">
        <v>161</v>
      </c>
      <c r="V7">
        <v>396.9</v>
      </c>
      <c r="W7">
        <v>60</v>
      </c>
      <c r="X7">
        <f t="shared" si="5"/>
        <v>23814</v>
      </c>
      <c r="Y7" t="s">
        <v>106</v>
      </c>
      <c r="Z7">
        <v>85</v>
      </c>
      <c r="AA7">
        <v>1700</v>
      </c>
      <c r="AB7">
        <f t="shared" si="6"/>
        <v>168314</v>
      </c>
      <c r="AC7">
        <f t="shared" si="7"/>
        <v>187000</v>
      </c>
      <c r="AD7" t="s">
        <v>111</v>
      </c>
      <c r="AE7">
        <v>55</v>
      </c>
      <c r="AF7">
        <v>1800</v>
      </c>
      <c r="AG7">
        <f t="shared" ref="AG7:AG32" si="11">AF7*AE7+X7</f>
        <v>122814</v>
      </c>
      <c r="AH7">
        <f t="shared" ref="AH5:AH32" si="12">AE7*2200+X7</f>
        <v>144814</v>
      </c>
      <c r="AI7">
        <f t="shared" ref="AI7:AI32" si="13">AB7-AG7</f>
        <v>45500</v>
      </c>
      <c r="AJ7">
        <v>160</v>
      </c>
      <c r="AK7">
        <f t="shared" si="8"/>
        <v>15768</v>
      </c>
      <c r="AL7" s="13">
        <f t="shared" si="9"/>
        <v>9.3682046650902482</v>
      </c>
      <c r="AM7" s="13">
        <f t="shared" si="10"/>
        <v>10.674403855910706</v>
      </c>
    </row>
    <row r="8" spans="1:39" x14ac:dyDescent="0.3">
      <c r="A8" t="s">
        <v>59</v>
      </c>
      <c r="B8">
        <v>466.5</v>
      </c>
      <c r="C8">
        <v>80</v>
      </c>
      <c r="D8">
        <f t="shared" si="0"/>
        <v>37320</v>
      </c>
      <c r="E8" t="s">
        <v>105</v>
      </c>
      <c r="F8">
        <v>115</v>
      </c>
      <c r="G8">
        <v>1700</v>
      </c>
      <c r="H8">
        <f t="shared" si="1"/>
        <v>232820</v>
      </c>
      <c r="J8" t="s">
        <v>205</v>
      </c>
      <c r="P8">
        <v>220</v>
      </c>
      <c r="Q8">
        <f t="shared" si="2"/>
        <v>21681</v>
      </c>
      <c r="R8" s="13">
        <f t="shared" si="3"/>
        <v>9.3123443003178412</v>
      </c>
      <c r="S8" s="13">
        <f t="shared" si="4"/>
        <v>10.738434574051013</v>
      </c>
      <c r="T8" s="4"/>
      <c r="U8" t="s">
        <v>162</v>
      </c>
      <c r="V8">
        <v>417.9</v>
      </c>
      <c r="W8">
        <v>60</v>
      </c>
      <c r="X8">
        <f t="shared" si="5"/>
        <v>25074</v>
      </c>
      <c r="Y8" t="s">
        <v>106</v>
      </c>
      <c r="Z8">
        <v>85</v>
      </c>
      <c r="AA8">
        <v>1700</v>
      </c>
      <c r="AB8">
        <f t="shared" si="6"/>
        <v>169574</v>
      </c>
      <c r="AC8">
        <f t="shared" si="7"/>
        <v>187000</v>
      </c>
      <c r="AD8" t="s">
        <v>111</v>
      </c>
      <c r="AE8">
        <v>55</v>
      </c>
      <c r="AF8">
        <v>1800</v>
      </c>
      <c r="AG8">
        <f t="shared" si="11"/>
        <v>124074</v>
      </c>
      <c r="AH8">
        <f t="shared" si="12"/>
        <v>146074</v>
      </c>
      <c r="AI8">
        <f t="shared" si="13"/>
        <v>45500</v>
      </c>
      <c r="AJ8">
        <v>160</v>
      </c>
      <c r="AK8">
        <f t="shared" si="8"/>
        <v>15768</v>
      </c>
      <c r="AL8" s="13">
        <f t="shared" si="9"/>
        <v>9.2985953035253051</v>
      </c>
      <c r="AM8" s="13">
        <f t="shared" si="10"/>
        <v>10.754312531709791</v>
      </c>
    </row>
    <row r="9" spans="1:39" x14ac:dyDescent="0.3">
      <c r="A9" t="s">
        <v>60</v>
      </c>
      <c r="B9">
        <v>522.9</v>
      </c>
      <c r="C9">
        <v>80</v>
      </c>
      <c r="D9">
        <f t="shared" si="0"/>
        <v>41832</v>
      </c>
      <c r="E9" t="s">
        <v>105</v>
      </c>
      <c r="F9">
        <v>115</v>
      </c>
      <c r="G9">
        <v>1700</v>
      </c>
      <c r="H9">
        <f t="shared" si="1"/>
        <v>237332</v>
      </c>
      <c r="J9" t="s">
        <v>205</v>
      </c>
      <c r="P9">
        <v>220</v>
      </c>
      <c r="Q9">
        <f t="shared" si="2"/>
        <v>21681</v>
      </c>
      <c r="R9" s="13">
        <f t="shared" si="3"/>
        <v>9.1353041309220835</v>
      </c>
      <c r="S9" s="13">
        <f t="shared" si="4"/>
        <v>10.946543056132096</v>
      </c>
      <c r="T9" s="4"/>
      <c r="U9" t="s">
        <v>163</v>
      </c>
      <c r="V9">
        <v>412.8</v>
      </c>
      <c r="W9">
        <v>60</v>
      </c>
      <c r="X9">
        <f t="shared" si="5"/>
        <v>24768</v>
      </c>
      <c r="Y9" t="s">
        <v>106</v>
      </c>
      <c r="Z9">
        <v>85</v>
      </c>
      <c r="AA9">
        <v>1700</v>
      </c>
      <c r="AB9">
        <f t="shared" si="6"/>
        <v>169268</v>
      </c>
      <c r="AC9">
        <f t="shared" si="7"/>
        <v>187000</v>
      </c>
      <c r="AD9" t="s">
        <v>111</v>
      </c>
      <c r="AE9">
        <v>55</v>
      </c>
      <c r="AF9">
        <v>1800</v>
      </c>
      <c r="AG9">
        <f t="shared" si="11"/>
        <v>123768</v>
      </c>
      <c r="AH9">
        <f t="shared" si="12"/>
        <v>145768</v>
      </c>
      <c r="AI9">
        <f t="shared" si="13"/>
        <v>45500</v>
      </c>
      <c r="AJ9">
        <v>160</v>
      </c>
      <c r="AK9">
        <f t="shared" si="8"/>
        <v>15768</v>
      </c>
      <c r="AL9" s="13">
        <f t="shared" si="9"/>
        <v>9.3154051563201552</v>
      </c>
      <c r="AM9" s="13">
        <f t="shared" si="10"/>
        <v>10.734906139015727</v>
      </c>
    </row>
    <row r="10" spans="1:39" x14ac:dyDescent="0.3">
      <c r="A10" t="s">
        <v>61</v>
      </c>
      <c r="B10">
        <v>582.20000000000005</v>
      </c>
      <c r="C10">
        <v>80</v>
      </c>
      <c r="D10">
        <f t="shared" si="0"/>
        <v>46576</v>
      </c>
      <c r="E10" t="s">
        <v>105</v>
      </c>
      <c r="F10">
        <v>115</v>
      </c>
      <c r="G10">
        <v>1700</v>
      </c>
      <c r="H10">
        <f t="shared" si="1"/>
        <v>242076</v>
      </c>
      <c r="J10" t="s">
        <v>205</v>
      </c>
      <c r="P10">
        <v>220</v>
      </c>
      <c r="Q10">
        <f t="shared" si="2"/>
        <v>21681</v>
      </c>
      <c r="R10" s="13">
        <f t="shared" si="3"/>
        <v>8.9562781936251437</v>
      </c>
      <c r="S10" s="13">
        <f t="shared" si="4"/>
        <v>11.165352151653522</v>
      </c>
      <c r="T10" s="4"/>
      <c r="U10" t="s">
        <v>164</v>
      </c>
      <c r="V10">
        <v>590.5</v>
      </c>
      <c r="W10">
        <v>60</v>
      </c>
      <c r="X10">
        <f t="shared" si="5"/>
        <v>35430</v>
      </c>
      <c r="Y10" t="s">
        <v>105</v>
      </c>
      <c r="Z10">
        <v>115</v>
      </c>
      <c r="AA10">
        <v>1700</v>
      </c>
      <c r="AB10">
        <f t="shared" si="6"/>
        <v>230930</v>
      </c>
      <c r="AC10">
        <f t="shared" si="7"/>
        <v>253000</v>
      </c>
      <c r="AD10" t="s">
        <v>205</v>
      </c>
      <c r="AJ10">
        <v>200</v>
      </c>
      <c r="AK10">
        <f t="shared" si="8"/>
        <v>19710</v>
      </c>
      <c r="AL10" s="13">
        <f t="shared" si="9"/>
        <v>8.5350539124410005</v>
      </c>
      <c r="AM10" s="13">
        <f t="shared" si="10"/>
        <v>11.71638762049721</v>
      </c>
    </row>
    <row r="11" spans="1:39" x14ac:dyDescent="0.3">
      <c r="A11" t="s">
        <v>62</v>
      </c>
      <c r="B11">
        <v>557.29999999999995</v>
      </c>
      <c r="C11">
        <v>80</v>
      </c>
      <c r="D11">
        <f t="shared" si="0"/>
        <v>44584</v>
      </c>
      <c r="E11" t="s">
        <v>105</v>
      </c>
      <c r="F11">
        <v>115</v>
      </c>
      <c r="G11">
        <v>1700</v>
      </c>
      <c r="H11">
        <f t="shared" si="1"/>
        <v>240084</v>
      </c>
      <c r="J11" t="s">
        <v>205</v>
      </c>
      <c r="P11">
        <v>220</v>
      </c>
      <c r="Q11">
        <f t="shared" si="2"/>
        <v>21681</v>
      </c>
      <c r="R11" s="13">
        <f t="shared" si="3"/>
        <v>9.0305892937471892</v>
      </c>
      <c r="S11" s="13">
        <f t="shared" si="4"/>
        <v>11.073474470734745</v>
      </c>
      <c r="T11" s="4"/>
      <c r="U11" t="s">
        <v>165</v>
      </c>
      <c r="V11">
        <v>558.5</v>
      </c>
      <c r="W11">
        <v>60</v>
      </c>
      <c r="X11">
        <f t="shared" si="5"/>
        <v>33510</v>
      </c>
      <c r="Y11" t="s">
        <v>105</v>
      </c>
      <c r="Z11">
        <v>115</v>
      </c>
      <c r="AA11">
        <v>1700</v>
      </c>
      <c r="AB11">
        <f t="shared" si="6"/>
        <v>229010</v>
      </c>
      <c r="AC11">
        <f t="shared" si="7"/>
        <v>253000</v>
      </c>
      <c r="AD11" t="s">
        <v>205</v>
      </c>
      <c r="AJ11">
        <v>200</v>
      </c>
      <c r="AK11">
        <f t="shared" si="8"/>
        <v>19710</v>
      </c>
      <c r="AL11" s="13">
        <f t="shared" si="9"/>
        <v>8.6066110650189938</v>
      </c>
      <c r="AM11" s="13">
        <f t="shared" si="10"/>
        <v>11.618975139523085</v>
      </c>
    </row>
    <row r="12" spans="1:39" x14ac:dyDescent="0.3">
      <c r="A12" t="s">
        <v>63</v>
      </c>
      <c r="B12">
        <v>498.4</v>
      </c>
      <c r="C12">
        <v>80</v>
      </c>
      <c r="D12">
        <f t="shared" si="0"/>
        <v>39872</v>
      </c>
      <c r="E12" t="s">
        <v>105</v>
      </c>
      <c r="F12">
        <v>115</v>
      </c>
      <c r="G12">
        <v>1700</v>
      </c>
      <c r="H12">
        <f t="shared" si="1"/>
        <v>235372</v>
      </c>
      <c r="J12" t="s">
        <v>205</v>
      </c>
      <c r="P12">
        <v>220</v>
      </c>
      <c r="Q12">
        <f t="shared" si="2"/>
        <v>21681</v>
      </c>
      <c r="R12" s="13">
        <f t="shared" si="3"/>
        <v>9.2113760345325701</v>
      </c>
      <c r="S12" s="13">
        <f t="shared" si="4"/>
        <v>10.856141321894746</v>
      </c>
      <c r="T12" s="4"/>
      <c r="U12" t="s">
        <v>166</v>
      </c>
      <c r="V12">
        <v>408.2</v>
      </c>
      <c r="W12">
        <v>60</v>
      </c>
      <c r="X12">
        <f t="shared" si="5"/>
        <v>24492</v>
      </c>
      <c r="Y12" t="s">
        <v>106</v>
      </c>
      <c r="Z12">
        <v>85</v>
      </c>
      <c r="AA12">
        <v>1700</v>
      </c>
      <c r="AB12">
        <f t="shared" si="6"/>
        <v>168992</v>
      </c>
      <c r="AC12">
        <f t="shared" si="7"/>
        <v>187000</v>
      </c>
      <c r="AD12" t="s">
        <v>111</v>
      </c>
      <c r="AE12">
        <v>55</v>
      </c>
      <c r="AF12">
        <v>1800</v>
      </c>
      <c r="AG12">
        <f t="shared" si="11"/>
        <v>123492</v>
      </c>
      <c r="AH12">
        <f t="shared" si="12"/>
        <v>145492</v>
      </c>
      <c r="AI12">
        <f t="shared" si="13"/>
        <v>45500</v>
      </c>
      <c r="AJ12">
        <v>160</v>
      </c>
      <c r="AK12">
        <f t="shared" si="8"/>
        <v>15768</v>
      </c>
      <c r="AL12" s="13">
        <f t="shared" si="9"/>
        <v>9.3306192009089184</v>
      </c>
      <c r="AM12" s="13">
        <f t="shared" si="10"/>
        <v>10.71740233384069</v>
      </c>
    </row>
    <row r="13" spans="1:39" x14ac:dyDescent="0.3">
      <c r="A13" t="s">
        <v>64</v>
      </c>
      <c r="B13">
        <v>438.1</v>
      </c>
      <c r="C13">
        <v>80</v>
      </c>
      <c r="D13">
        <f t="shared" si="0"/>
        <v>35048</v>
      </c>
      <c r="E13" t="s">
        <v>106</v>
      </c>
      <c r="F13">
        <v>85</v>
      </c>
      <c r="G13">
        <v>1700</v>
      </c>
      <c r="H13">
        <f t="shared" si="1"/>
        <v>179548</v>
      </c>
      <c r="J13" t="s">
        <v>111</v>
      </c>
      <c r="K13">
        <v>55</v>
      </c>
      <c r="L13">
        <v>1800</v>
      </c>
      <c r="M13">
        <f t="shared" ref="M13:M48" si="14">L13*K13+D13</f>
        <v>134048</v>
      </c>
      <c r="O13">
        <f t="shared" ref="O13:O48" si="15">H13-M13</f>
        <v>45500</v>
      </c>
      <c r="P13">
        <v>180</v>
      </c>
      <c r="Q13">
        <f t="shared" si="2"/>
        <v>17739</v>
      </c>
      <c r="R13" s="13">
        <f t="shared" si="3"/>
        <v>9.8798092989061423</v>
      </c>
      <c r="S13" s="13">
        <f t="shared" si="4"/>
        <v>10.121652855290602</v>
      </c>
      <c r="T13" s="4"/>
      <c r="U13" t="s">
        <v>167</v>
      </c>
      <c r="V13">
        <v>399</v>
      </c>
      <c r="W13">
        <v>60</v>
      </c>
      <c r="X13">
        <f t="shared" si="5"/>
        <v>23940</v>
      </c>
      <c r="Y13" t="s">
        <v>106</v>
      </c>
      <c r="Z13">
        <v>85</v>
      </c>
      <c r="AA13">
        <v>1700</v>
      </c>
      <c r="AB13">
        <f t="shared" si="6"/>
        <v>168440</v>
      </c>
      <c r="AC13">
        <f t="shared" si="7"/>
        <v>187000</v>
      </c>
      <c r="AD13" t="s">
        <v>111</v>
      </c>
      <c r="AE13">
        <v>55</v>
      </c>
      <c r="AF13">
        <v>1800</v>
      </c>
      <c r="AG13">
        <f t="shared" si="11"/>
        <v>122940</v>
      </c>
      <c r="AH13">
        <f t="shared" si="12"/>
        <v>144940</v>
      </c>
      <c r="AI13">
        <f t="shared" si="13"/>
        <v>45500</v>
      </c>
      <c r="AJ13">
        <v>160</v>
      </c>
      <c r="AK13">
        <f t="shared" si="8"/>
        <v>15768</v>
      </c>
      <c r="AL13" s="13">
        <f t="shared" si="9"/>
        <v>9.3611968653526478</v>
      </c>
      <c r="AM13" s="13">
        <f t="shared" si="10"/>
        <v>10.682394723490614</v>
      </c>
    </row>
    <row r="14" spans="1:39" x14ac:dyDescent="0.3">
      <c r="A14" t="s">
        <v>65</v>
      </c>
      <c r="B14">
        <v>377.7</v>
      </c>
      <c r="C14">
        <v>80</v>
      </c>
      <c r="D14">
        <f t="shared" si="0"/>
        <v>30216</v>
      </c>
      <c r="E14" t="s">
        <v>106</v>
      </c>
      <c r="F14">
        <v>85</v>
      </c>
      <c r="G14">
        <v>1700</v>
      </c>
      <c r="H14">
        <f t="shared" si="1"/>
        <v>174716</v>
      </c>
      <c r="J14" t="s">
        <v>111</v>
      </c>
      <c r="K14">
        <v>55</v>
      </c>
      <c r="L14">
        <v>1800</v>
      </c>
      <c r="M14">
        <f t="shared" si="14"/>
        <v>129216</v>
      </c>
      <c r="O14">
        <f t="shared" si="15"/>
        <v>45500</v>
      </c>
      <c r="P14">
        <v>180</v>
      </c>
      <c r="Q14">
        <f t="shared" si="2"/>
        <v>17739</v>
      </c>
      <c r="R14" s="13">
        <f t="shared" si="3"/>
        <v>10.153048375649625</v>
      </c>
      <c r="S14" s="13">
        <f t="shared" si="4"/>
        <v>9.849258695529624</v>
      </c>
      <c r="T14" s="4"/>
      <c r="U14" t="s">
        <v>168</v>
      </c>
      <c r="V14">
        <v>389.8</v>
      </c>
      <c r="W14">
        <v>60</v>
      </c>
      <c r="X14">
        <f t="shared" si="5"/>
        <v>23388</v>
      </c>
      <c r="Y14" t="s">
        <v>106</v>
      </c>
      <c r="Z14">
        <v>85</v>
      </c>
      <c r="AA14">
        <v>1700</v>
      </c>
      <c r="AB14">
        <f t="shared" si="6"/>
        <v>167888</v>
      </c>
      <c r="AC14">
        <f t="shared" si="7"/>
        <v>187000</v>
      </c>
      <c r="AD14" t="s">
        <v>111</v>
      </c>
      <c r="AE14">
        <v>55</v>
      </c>
      <c r="AF14">
        <v>1800</v>
      </c>
      <c r="AG14">
        <f t="shared" si="11"/>
        <v>122388</v>
      </c>
      <c r="AH14">
        <f t="shared" si="12"/>
        <v>144388</v>
      </c>
      <c r="AI14">
        <f t="shared" si="13"/>
        <v>45500</v>
      </c>
      <c r="AJ14">
        <v>160</v>
      </c>
      <c r="AK14">
        <f t="shared" si="8"/>
        <v>15768</v>
      </c>
      <c r="AL14" s="13">
        <f t="shared" si="9"/>
        <v>9.3919756027828072</v>
      </c>
      <c r="AM14" s="13">
        <f t="shared" si="10"/>
        <v>10.647387113140537</v>
      </c>
    </row>
    <row r="15" spans="1:39" x14ac:dyDescent="0.3">
      <c r="A15" t="s">
        <v>66</v>
      </c>
      <c r="B15">
        <v>317.39999999999998</v>
      </c>
      <c r="C15">
        <v>80</v>
      </c>
      <c r="D15">
        <f t="shared" si="0"/>
        <v>25392</v>
      </c>
      <c r="E15" t="s">
        <v>107</v>
      </c>
      <c r="F15">
        <v>55</v>
      </c>
      <c r="G15">
        <v>1700</v>
      </c>
      <c r="H15">
        <f t="shared" si="1"/>
        <v>118892</v>
      </c>
      <c r="J15" t="s">
        <v>206</v>
      </c>
      <c r="P15">
        <v>150</v>
      </c>
      <c r="Q15">
        <f t="shared" si="2"/>
        <v>14782.5</v>
      </c>
      <c r="R15" s="13">
        <f t="shared" si="3"/>
        <v>12.433553140665477</v>
      </c>
      <c r="S15" s="13">
        <f t="shared" si="4"/>
        <v>8.0427532555386438</v>
      </c>
      <c r="T15" s="4"/>
      <c r="U15" t="s">
        <v>169</v>
      </c>
      <c r="V15">
        <v>380.5</v>
      </c>
      <c r="W15">
        <v>60</v>
      </c>
      <c r="X15">
        <f t="shared" si="5"/>
        <v>22830</v>
      </c>
      <c r="Y15" t="s">
        <v>106</v>
      </c>
      <c r="Z15">
        <v>85</v>
      </c>
      <c r="AA15">
        <v>1700</v>
      </c>
      <c r="AB15">
        <f t="shared" si="6"/>
        <v>167330</v>
      </c>
      <c r="AC15">
        <f t="shared" si="7"/>
        <v>187000</v>
      </c>
      <c r="AD15" t="s">
        <v>111</v>
      </c>
      <c r="AE15">
        <v>55</v>
      </c>
      <c r="AF15">
        <v>1800</v>
      </c>
      <c r="AG15">
        <f t="shared" si="11"/>
        <v>121830</v>
      </c>
      <c r="AH15">
        <f t="shared" si="12"/>
        <v>143830</v>
      </c>
      <c r="AI15">
        <f t="shared" si="13"/>
        <v>45500</v>
      </c>
      <c r="AJ15">
        <v>160</v>
      </c>
      <c r="AK15">
        <f t="shared" si="8"/>
        <v>15768</v>
      </c>
      <c r="AL15" s="13">
        <f t="shared" si="9"/>
        <v>9.4232952847666294</v>
      </c>
      <c r="AM15" s="13">
        <f t="shared" si="10"/>
        <v>10.611998985286656</v>
      </c>
    </row>
    <row r="16" spans="1:39" x14ac:dyDescent="0.3">
      <c r="A16" t="s">
        <v>67</v>
      </c>
      <c r="B16">
        <v>491</v>
      </c>
      <c r="C16">
        <v>80</v>
      </c>
      <c r="D16">
        <f t="shared" si="0"/>
        <v>39280</v>
      </c>
      <c r="E16" t="s">
        <v>105</v>
      </c>
      <c r="F16">
        <v>115</v>
      </c>
      <c r="G16">
        <v>1700</v>
      </c>
      <c r="H16">
        <f t="shared" si="1"/>
        <v>234780</v>
      </c>
      <c r="J16" t="s">
        <v>205</v>
      </c>
      <c r="P16">
        <v>220</v>
      </c>
      <c r="Q16">
        <f t="shared" si="2"/>
        <v>21681</v>
      </c>
      <c r="R16" s="13">
        <f t="shared" si="3"/>
        <v>9.2346026066956295</v>
      </c>
      <c r="S16" s="13">
        <f t="shared" si="4"/>
        <v>10.828836308288363</v>
      </c>
      <c r="T16" s="4"/>
      <c r="U16" t="s">
        <v>170</v>
      </c>
      <c r="V16">
        <v>372.3</v>
      </c>
      <c r="W16">
        <v>60</v>
      </c>
      <c r="X16">
        <f t="shared" si="5"/>
        <v>22338</v>
      </c>
      <c r="Y16" t="s">
        <v>106</v>
      </c>
      <c r="Z16">
        <v>85</v>
      </c>
      <c r="AA16">
        <v>1700</v>
      </c>
      <c r="AB16">
        <f t="shared" si="6"/>
        <v>166838</v>
      </c>
      <c r="AC16">
        <f t="shared" si="7"/>
        <v>187000</v>
      </c>
      <c r="AD16" t="s">
        <v>111</v>
      </c>
      <c r="AE16">
        <v>55</v>
      </c>
      <c r="AF16">
        <v>1800</v>
      </c>
      <c r="AG16">
        <f t="shared" si="11"/>
        <v>121338</v>
      </c>
      <c r="AH16">
        <f t="shared" si="12"/>
        <v>143338</v>
      </c>
      <c r="AI16">
        <f t="shared" si="13"/>
        <v>45500</v>
      </c>
      <c r="AJ16">
        <v>160</v>
      </c>
      <c r="AK16">
        <f t="shared" si="8"/>
        <v>15768</v>
      </c>
      <c r="AL16" s="13">
        <f t="shared" si="9"/>
        <v>9.4510842853546553</v>
      </c>
      <c r="AM16" s="13">
        <f t="shared" si="10"/>
        <v>10.580796549974632</v>
      </c>
    </row>
    <row r="17" spans="1:39" x14ac:dyDescent="0.3">
      <c r="A17" t="s">
        <v>68</v>
      </c>
      <c r="B17">
        <v>525.70000000000005</v>
      </c>
      <c r="C17">
        <v>80</v>
      </c>
      <c r="D17">
        <f t="shared" si="0"/>
        <v>42056</v>
      </c>
      <c r="E17" t="s">
        <v>105</v>
      </c>
      <c r="F17">
        <v>115</v>
      </c>
      <c r="G17">
        <v>1700</v>
      </c>
      <c r="H17">
        <f t="shared" si="1"/>
        <v>237556</v>
      </c>
      <c r="J17" t="s">
        <v>205</v>
      </c>
      <c r="P17">
        <v>220</v>
      </c>
      <c r="Q17">
        <f t="shared" si="2"/>
        <v>21681</v>
      </c>
      <c r="R17" s="13">
        <f t="shared" si="3"/>
        <v>9.1266901278014441</v>
      </c>
      <c r="S17" s="13">
        <f t="shared" si="4"/>
        <v>10.956874682902081</v>
      </c>
      <c r="T17" s="4"/>
      <c r="U17" t="s">
        <v>171</v>
      </c>
      <c r="V17">
        <v>370.5</v>
      </c>
      <c r="W17">
        <v>60</v>
      </c>
      <c r="X17">
        <f t="shared" si="5"/>
        <v>22230</v>
      </c>
      <c r="Y17" t="s">
        <v>106</v>
      </c>
      <c r="Z17">
        <v>85</v>
      </c>
      <c r="AA17">
        <v>1700</v>
      </c>
      <c r="AB17">
        <f t="shared" si="6"/>
        <v>166730</v>
      </c>
      <c r="AC17">
        <f t="shared" si="7"/>
        <v>187000</v>
      </c>
      <c r="AD17" t="s">
        <v>111</v>
      </c>
      <c r="AE17">
        <v>55</v>
      </c>
      <c r="AF17">
        <v>1800</v>
      </c>
      <c r="AG17">
        <f t="shared" si="11"/>
        <v>121230</v>
      </c>
      <c r="AH17">
        <f t="shared" si="12"/>
        <v>143230</v>
      </c>
      <c r="AI17">
        <f t="shared" si="13"/>
        <v>45500</v>
      </c>
      <c r="AJ17">
        <v>160</v>
      </c>
      <c r="AK17">
        <f t="shared" si="8"/>
        <v>15768</v>
      </c>
      <c r="AL17" s="13">
        <f t="shared" si="9"/>
        <v>9.4572062616205841</v>
      </c>
      <c r="AM17" s="13">
        <f t="shared" si="10"/>
        <v>10.573947234906139</v>
      </c>
    </row>
    <row r="18" spans="1:39" x14ac:dyDescent="0.3">
      <c r="A18" t="s">
        <v>69</v>
      </c>
      <c r="B18">
        <v>570</v>
      </c>
      <c r="C18">
        <v>80</v>
      </c>
      <c r="D18">
        <f t="shared" si="0"/>
        <v>45600</v>
      </c>
      <c r="E18" t="s">
        <v>105</v>
      </c>
      <c r="F18">
        <v>115</v>
      </c>
      <c r="G18">
        <v>1700</v>
      </c>
      <c r="H18">
        <f t="shared" si="1"/>
        <v>241100</v>
      </c>
      <c r="J18" t="s">
        <v>205</v>
      </c>
      <c r="P18">
        <v>220</v>
      </c>
      <c r="Q18">
        <f t="shared" si="2"/>
        <v>21681</v>
      </c>
      <c r="R18" s="13">
        <f t="shared" si="3"/>
        <v>8.9925342181667354</v>
      </c>
      <c r="S18" s="13">
        <f t="shared" si="4"/>
        <v>11.120335777870025</v>
      </c>
      <c r="T18" s="4"/>
      <c r="U18" t="s">
        <v>172</v>
      </c>
      <c r="V18">
        <v>369.8</v>
      </c>
      <c r="W18">
        <v>60</v>
      </c>
      <c r="X18">
        <f t="shared" si="5"/>
        <v>22188</v>
      </c>
      <c r="Y18" t="s">
        <v>106</v>
      </c>
      <c r="Z18">
        <v>85</v>
      </c>
      <c r="AA18">
        <v>1700</v>
      </c>
      <c r="AB18">
        <f t="shared" si="6"/>
        <v>166688</v>
      </c>
      <c r="AC18">
        <f t="shared" si="7"/>
        <v>187000</v>
      </c>
      <c r="AD18" t="s">
        <v>111</v>
      </c>
      <c r="AE18">
        <v>55</v>
      </c>
      <c r="AF18">
        <v>1800</v>
      </c>
      <c r="AG18">
        <f t="shared" si="11"/>
        <v>121188</v>
      </c>
      <c r="AH18">
        <f t="shared" si="12"/>
        <v>143188</v>
      </c>
      <c r="AI18">
        <f t="shared" si="13"/>
        <v>45500</v>
      </c>
      <c r="AJ18">
        <v>160</v>
      </c>
      <c r="AK18">
        <f t="shared" si="8"/>
        <v>15768</v>
      </c>
      <c r="AL18" s="13">
        <f t="shared" si="9"/>
        <v>9.4595891725859094</v>
      </c>
      <c r="AM18" s="13">
        <f t="shared" si="10"/>
        <v>10.571283612379503</v>
      </c>
    </row>
    <row r="19" spans="1:39" x14ac:dyDescent="0.3">
      <c r="A19" t="s">
        <v>70</v>
      </c>
      <c r="B19">
        <v>570</v>
      </c>
      <c r="C19">
        <v>80</v>
      </c>
      <c r="D19">
        <f t="shared" si="0"/>
        <v>45600</v>
      </c>
      <c r="E19" t="s">
        <v>105</v>
      </c>
      <c r="F19">
        <v>115</v>
      </c>
      <c r="G19">
        <v>1700</v>
      </c>
      <c r="H19">
        <f t="shared" si="1"/>
        <v>241100</v>
      </c>
      <c r="J19" t="s">
        <v>205</v>
      </c>
      <c r="P19">
        <v>220</v>
      </c>
      <c r="Q19">
        <f t="shared" si="2"/>
        <v>21681</v>
      </c>
      <c r="R19" s="13">
        <f t="shared" si="3"/>
        <v>8.9925342181667354</v>
      </c>
      <c r="S19" s="13">
        <f t="shared" si="4"/>
        <v>11.120335777870025</v>
      </c>
      <c r="T19" s="4"/>
      <c r="U19" t="s">
        <v>173</v>
      </c>
      <c r="V19">
        <v>369.1</v>
      </c>
      <c r="W19">
        <v>60</v>
      </c>
      <c r="X19">
        <f t="shared" si="5"/>
        <v>22146</v>
      </c>
      <c r="Y19" t="s">
        <v>106</v>
      </c>
      <c r="Z19">
        <v>85</v>
      </c>
      <c r="AA19">
        <v>1700</v>
      </c>
      <c r="AB19">
        <f t="shared" si="6"/>
        <v>166646</v>
      </c>
      <c r="AC19">
        <f t="shared" si="7"/>
        <v>187000</v>
      </c>
      <c r="AD19" t="s">
        <v>111</v>
      </c>
      <c r="AE19">
        <v>55</v>
      </c>
      <c r="AF19">
        <v>1800</v>
      </c>
      <c r="AG19">
        <f t="shared" si="11"/>
        <v>121146</v>
      </c>
      <c r="AH19">
        <f t="shared" si="12"/>
        <v>143146</v>
      </c>
      <c r="AI19">
        <f t="shared" si="13"/>
        <v>45500</v>
      </c>
      <c r="AJ19">
        <v>160</v>
      </c>
      <c r="AK19">
        <f t="shared" si="8"/>
        <v>15768</v>
      </c>
      <c r="AL19" s="13">
        <f t="shared" si="9"/>
        <v>9.4619732846873017</v>
      </c>
      <c r="AM19" s="13">
        <f t="shared" si="10"/>
        <v>10.568619989852866</v>
      </c>
    </row>
    <row r="20" spans="1:39" x14ac:dyDescent="0.3">
      <c r="A20" t="s">
        <v>71</v>
      </c>
      <c r="B20">
        <v>741.9</v>
      </c>
      <c r="C20">
        <v>80</v>
      </c>
      <c r="D20">
        <f t="shared" si="0"/>
        <v>59352</v>
      </c>
      <c r="E20" t="s">
        <v>108</v>
      </c>
      <c r="F20">
        <v>156.69999999999999</v>
      </c>
      <c r="G20">
        <v>1700</v>
      </c>
      <c r="H20">
        <f t="shared" si="1"/>
        <v>325742</v>
      </c>
      <c r="J20" t="s">
        <v>109</v>
      </c>
      <c r="K20">
        <v>110</v>
      </c>
      <c r="L20">
        <v>1800</v>
      </c>
      <c r="M20">
        <f t="shared" si="14"/>
        <v>257352</v>
      </c>
      <c r="O20">
        <f t="shared" si="15"/>
        <v>68390</v>
      </c>
      <c r="P20">
        <v>280</v>
      </c>
      <c r="Q20">
        <f t="shared" si="2"/>
        <v>27594</v>
      </c>
      <c r="R20" s="13">
        <f t="shared" si="3"/>
        <v>8.4711213168704074</v>
      </c>
      <c r="S20" s="13">
        <f t="shared" si="4"/>
        <v>11.804812640429079</v>
      </c>
      <c r="T20" s="4"/>
      <c r="U20" t="s">
        <v>174</v>
      </c>
      <c r="V20">
        <v>369.1</v>
      </c>
      <c r="W20">
        <v>60</v>
      </c>
      <c r="X20">
        <f t="shared" si="5"/>
        <v>22146</v>
      </c>
      <c r="Y20" t="s">
        <v>106</v>
      </c>
      <c r="Z20">
        <v>85</v>
      </c>
      <c r="AA20">
        <v>1700</v>
      </c>
      <c r="AB20">
        <f t="shared" si="6"/>
        <v>166646</v>
      </c>
      <c r="AC20">
        <f t="shared" si="7"/>
        <v>187000</v>
      </c>
      <c r="AD20" t="s">
        <v>111</v>
      </c>
      <c r="AE20">
        <v>55</v>
      </c>
      <c r="AF20">
        <v>1800</v>
      </c>
      <c r="AG20">
        <f t="shared" si="11"/>
        <v>121146</v>
      </c>
      <c r="AH20">
        <f t="shared" si="12"/>
        <v>143146</v>
      </c>
      <c r="AI20">
        <f t="shared" si="13"/>
        <v>45500</v>
      </c>
      <c r="AJ20">
        <v>160</v>
      </c>
      <c r="AK20">
        <f t="shared" si="8"/>
        <v>15768</v>
      </c>
      <c r="AL20" s="13">
        <f t="shared" si="9"/>
        <v>9.4619732846873017</v>
      </c>
      <c r="AM20" s="13">
        <f t="shared" si="10"/>
        <v>10.568619989852866</v>
      </c>
    </row>
    <row r="21" spans="1:39" x14ac:dyDescent="0.3">
      <c r="A21" t="s">
        <v>72</v>
      </c>
      <c r="B21">
        <v>789.9</v>
      </c>
      <c r="C21">
        <v>80</v>
      </c>
      <c r="D21">
        <f t="shared" si="0"/>
        <v>63192</v>
      </c>
      <c r="E21" t="s">
        <v>108</v>
      </c>
      <c r="F21">
        <v>156.69999999999999</v>
      </c>
      <c r="G21">
        <v>1700</v>
      </c>
      <c r="H21">
        <f t="shared" si="1"/>
        <v>329582</v>
      </c>
      <c r="J21" t="s">
        <v>109</v>
      </c>
      <c r="K21">
        <v>110</v>
      </c>
      <c r="L21">
        <v>1800</v>
      </c>
      <c r="M21">
        <f t="shared" si="14"/>
        <v>261192</v>
      </c>
      <c r="O21">
        <f t="shared" si="15"/>
        <v>68390</v>
      </c>
      <c r="P21">
        <v>280</v>
      </c>
      <c r="Q21">
        <f t="shared" si="2"/>
        <v>27594</v>
      </c>
      <c r="R21" s="13">
        <f t="shared" si="3"/>
        <v>8.3724232512697903</v>
      </c>
      <c r="S21" s="13">
        <f t="shared" si="4"/>
        <v>11.943973327534971</v>
      </c>
      <c r="T21" s="4"/>
      <c r="U21" t="s">
        <v>175</v>
      </c>
      <c r="V21">
        <v>379.4</v>
      </c>
      <c r="W21">
        <v>60</v>
      </c>
      <c r="X21">
        <f t="shared" si="5"/>
        <v>22764</v>
      </c>
      <c r="Y21" t="s">
        <v>106</v>
      </c>
      <c r="Z21">
        <v>85</v>
      </c>
      <c r="AA21">
        <v>1700</v>
      </c>
      <c r="AB21">
        <f t="shared" si="6"/>
        <v>167264</v>
      </c>
      <c r="AC21">
        <f t="shared" si="7"/>
        <v>187000</v>
      </c>
      <c r="AD21" t="s">
        <v>111</v>
      </c>
      <c r="AE21">
        <v>55</v>
      </c>
      <c r="AF21">
        <v>1800</v>
      </c>
      <c r="AG21">
        <f t="shared" si="11"/>
        <v>121764</v>
      </c>
      <c r="AH21">
        <f t="shared" si="12"/>
        <v>143764</v>
      </c>
      <c r="AI21">
        <f t="shared" si="13"/>
        <v>45500</v>
      </c>
      <c r="AJ21">
        <v>160</v>
      </c>
      <c r="AK21">
        <f t="shared" si="8"/>
        <v>15768</v>
      </c>
      <c r="AL21" s="13">
        <f t="shared" si="9"/>
        <v>9.4270135833173914</v>
      </c>
      <c r="AM21" s="13">
        <f t="shared" si="10"/>
        <v>10.607813292744799</v>
      </c>
    </row>
    <row r="22" spans="1:39" x14ac:dyDescent="0.3">
      <c r="A22" t="s">
        <v>73</v>
      </c>
      <c r="B22">
        <v>509.8</v>
      </c>
      <c r="C22">
        <v>80</v>
      </c>
      <c r="D22">
        <f t="shared" si="0"/>
        <v>40784</v>
      </c>
      <c r="E22" t="s">
        <v>105</v>
      </c>
      <c r="F22">
        <v>115</v>
      </c>
      <c r="G22">
        <v>1700</v>
      </c>
      <c r="H22">
        <f t="shared" si="1"/>
        <v>236284</v>
      </c>
      <c r="J22" t="s">
        <v>205</v>
      </c>
      <c r="P22">
        <v>220</v>
      </c>
      <c r="Q22">
        <f t="shared" si="2"/>
        <v>21681</v>
      </c>
      <c r="R22" s="13">
        <f t="shared" si="3"/>
        <v>9.1758223155186123</v>
      </c>
      <c r="S22" s="13">
        <f t="shared" si="4"/>
        <v>10.898205802315392</v>
      </c>
      <c r="T22" s="4"/>
      <c r="U22" t="s">
        <v>176</v>
      </c>
      <c r="V22">
        <v>392.9</v>
      </c>
      <c r="W22">
        <v>60</v>
      </c>
      <c r="X22">
        <f t="shared" si="5"/>
        <v>23574</v>
      </c>
      <c r="Y22" t="s">
        <v>106</v>
      </c>
      <c r="Z22">
        <v>85</v>
      </c>
      <c r="AA22">
        <v>1700</v>
      </c>
      <c r="AB22">
        <f t="shared" si="6"/>
        <v>168074</v>
      </c>
      <c r="AC22">
        <f t="shared" si="7"/>
        <v>187000</v>
      </c>
      <c r="AD22" t="s">
        <v>111</v>
      </c>
      <c r="AE22">
        <v>55</v>
      </c>
      <c r="AF22">
        <v>1800</v>
      </c>
      <c r="AG22">
        <f t="shared" si="11"/>
        <v>122574</v>
      </c>
      <c r="AH22">
        <f t="shared" si="12"/>
        <v>144574</v>
      </c>
      <c r="AI22">
        <f t="shared" si="13"/>
        <v>45500</v>
      </c>
      <c r="AJ22">
        <v>160</v>
      </c>
      <c r="AK22">
        <f t="shared" si="8"/>
        <v>15768</v>
      </c>
      <c r="AL22" s="13">
        <f t="shared" si="9"/>
        <v>9.3815819222485324</v>
      </c>
      <c r="AM22" s="13">
        <f t="shared" si="10"/>
        <v>10.659183155758498</v>
      </c>
    </row>
    <row r="23" spans="1:39" x14ac:dyDescent="0.3">
      <c r="A23" t="s">
        <v>74</v>
      </c>
      <c r="B23">
        <v>454.3</v>
      </c>
      <c r="C23">
        <v>80</v>
      </c>
      <c r="D23">
        <f t="shared" si="0"/>
        <v>36344</v>
      </c>
      <c r="E23" t="s">
        <v>105</v>
      </c>
      <c r="F23">
        <v>115</v>
      </c>
      <c r="G23">
        <v>1700</v>
      </c>
      <c r="H23">
        <f t="shared" si="1"/>
        <v>231844</v>
      </c>
      <c r="J23" t="s">
        <v>205</v>
      </c>
      <c r="P23">
        <v>220</v>
      </c>
      <c r="Q23">
        <f t="shared" si="2"/>
        <v>21681</v>
      </c>
      <c r="R23" s="13">
        <f t="shared" si="3"/>
        <v>9.3515467296975547</v>
      </c>
      <c r="S23" s="13">
        <f t="shared" si="4"/>
        <v>10.693418200267516</v>
      </c>
      <c r="T23" s="4"/>
      <c r="U23" t="s">
        <v>177</v>
      </c>
      <c r="V23">
        <v>398.4</v>
      </c>
      <c r="W23">
        <v>60</v>
      </c>
      <c r="X23">
        <f t="shared" si="5"/>
        <v>23904</v>
      </c>
      <c r="Y23" t="s">
        <v>106</v>
      </c>
      <c r="Z23">
        <v>85</v>
      </c>
      <c r="AA23">
        <v>1700</v>
      </c>
      <c r="AB23">
        <f t="shared" si="6"/>
        <v>168404</v>
      </c>
      <c r="AC23">
        <f t="shared" si="7"/>
        <v>187000</v>
      </c>
      <c r="AD23" t="s">
        <v>111</v>
      </c>
      <c r="AE23">
        <v>55</v>
      </c>
      <c r="AF23">
        <v>1800</v>
      </c>
      <c r="AG23">
        <f t="shared" si="11"/>
        <v>122904</v>
      </c>
      <c r="AH23">
        <f t="shared" si="12"/>
        <v>144904</v>
      </c>
      <c r="AI23">
        <f t="shared" si="13"/>
        <v>45500</v>
      </c>
      <c r="AJ23">
        <v>160</v>
      </c>
      <c r="AK23">
        <f t="shared" si="8"/>
        <v>15768</v>
      </c>
      <c r="AL23" s="13">
        <f t="shared" si="9"/>
        <v>9.3631980237999102</v>
      </c>
      <c r="AM23" s="13">
        <f t="shared" si="10"/>
        <v>10.680111618467782</v>
      </c>
    </row>
    <row r="24" spans="1:39" x14ac:dyDescent="0.3">
      <c r="A24" t="s">
        <v>75</v>
      </c>
      <c r="B24">
        <v>369.9</v>
      </c>
      <c r="C24">
        <v>80</v>
      </c>
      <c r="D24">
        <f t="shared" si="0"/>
        <v>29592</v>
      </c>
      <c r="E24" t="s">
        <v>106</v>
      </c>
      <c r="F24">
        <v>85</v>
      </c>
      <c r="G24">
        <v>1700</v>
      </c>
      <c r="H24">
        <f t="shared" si="1"/>
        <v>174092</v>
      </c>
      <c r="J24" t="s">
        <v>111</v>
      </c>
      <c r="K24">
        <v>55</v>
      </c>
      <c r="L24">
        <v>1800</v>
      </c>
      <c r="M24">
        <f t="shared" si="14"/>
        <v>128592</v>
      </c>
      <c r="O24">
        <f t="shared" si="15"/>
        <v>45500</v>
      </c>
      <c r="P24">
        <v>180</v>
      </c>
      <c r="Q24">
        <f t="shared" si="2"/>
        <v>17739</v>
      </c>
      <c r="R24" s="13">
        <f t="shared" si="3"/>
        <v>10.18944006617191</v>
      </c>
      <c r="S24" s="13">
        <f t="shared" si="4"/>
        <v>9.8140819662889687</v>
      </c>
      <c r="T24" s="4"/>
      <c r="U24" t="s">
        <v>178</v>
      </c>
      <c r="V24">
        <v>377</v>
      </c>
      <c r="W24">
        <v>60</v>
      </c>
      <c r="X24">
        <f t="shared" si="5"/>
        <v>22620</v>
      </c>
      <c r="Y24" t="s">
        <v>106</v>
      </c>
      <c r="Z24">
        <v>85</v>
      </c>
      <c r="AA24">
        <v>1700</v>
      </c>
      <c r="AB24">
        <f t="shared" si="6"/>
        <v>167120</v>
      </c>
      <c r="AC24">
        <f t="shared" si="7"/>
        <v>187000</v>
      </c>
      <c r="AD24" t="s">
        <v>111</v>
      </c>
      <c r="AE24">
        <v>55</v>
      </c>
      <c r="AF24">
        <v>1800</v>
      </c>
      <c r="AG24">
        <f t="shared" si="11"/>
        <v>121620</v>
      </c>
      <c r="AH24">
        <f t="shared" si="12"/>
        <v>143620</v>
      </c>
      <c r="AI24">
        <f t="shared" si="13"/>
        <v>45500</v>
      </c>
      <c r="AJ24">
        <v>160</v>
      </c>
      <c r="AK24">
        <f t="shared" si="8"/>
        <v>15768</v>
      </c>
      <c r="AL24" s="13">
        <f t="shared" si="9"/>
        <v>9.4351364289133564</v>
      </c>
      <c r="AM24" s="13">
        <f t="shared" si="10"/>
        <v>10.598680872653475</v>
      </c>
    </row>
    <row r="25" spans="1:39" x14ac:dyDescent="0.3">
      <c r="A25" t="s">
        <v>76</v>
      </c>
      <c r="B25">
        <v>426.8</v>
      </c>
      <c r="C25">
        <v>80</v>
      </c>
      <c r="D25">
        <f t="shared" si="0"/>
        <v>34144</v>
      </c>
      <c r="E25" t="s">
        <v>106</v>
      </c>
      <c r="F25">
        <v>85</v>
      </c>
      <c r="G25">
        <v>1700</v>
      </c>
      <c r="H25">
        <f t="shared" si="1"/>
        <v>178644</v>
      </c>
      <c r="J25" t="s">
        <v>111</v>
      </c>
      <c r="K25">
        <v>55</v>
      </c>
      <c r="L25">
        <v>1800</v>
      </c>
      <c r="M25">
        <f t="shared" si="14"/>
        <v>133144</v>
      </c>
      <c r="O25">
        <f t="shared" si="15"/>
        <v>45500</v>
      </c>
      <c r="P25">
        <v>180</v>
      </c>
      <c r="Q25">
        <f t="shared" si="2"/>
        <v>17739</v>
      </c>
      <c r="R25" s="13">
        <f t="shared" si="3"/>
        <v>9.9298045274400497</v>
      </c>
      <c r="S25" s="13">
        <f t="shared" si="4"/>
        <v>10.070691696262472</v>
      </c>
      <c r="T25" s="4"/>
      <c r="U25" t="s">
        <v>179</v>
      </c>
      <c r="V25">
        <v>342.3</v>
      </c>
      <c r="W25">
        <v>60</v>
      </c>
      <c r="X25">
        <f t="shared" si="5"/>
        <v>20538</v>
      </c>
      <c r="Y25" t="s">
        <v>188</v>
      </c>
      <c r="Z25">
        <v>55</v>
      </c>
      <c r="AA25">
        <v>1700</v>
      </c>
      <c r="AB25">
        <f t="shared" si="6"/>
        <v>114038</v>
      </c>
      <c r="AC25">
        <f t="shared" si="7"/>
        <v>121000</v>
      </c>
      <c r="AD25" t="s">
        <v>111</v>
      </c>
      <c r="AJ25">
        <v>120</v>
      </c>
      <c r="AK25">
        <f t="shared" si="8"/>
        <v>11826</v>
      </c>
      <c r="AL25" s="13">
        <f t="shared" si="9"/>
        <v>10.370227468036971</v>
      </c>
      <c r="AM25" s="13">
        <f t="shared" si="10"/>
        <v>9.6429900219854563</v>
      </c>
    </row>
    <row r="26" spans="1:39" x14ac:dyDescent="0.3">
      <c r="A26" t="s">
        <v>77</v>
      </c>
      <c r="B26">
        <v>426.8</v>
      </c>
      <c r="C26">
        <v>80</v>
      </c>
      <c r="D26">
        <f t="shared" si="0"/>
        <v>34144</v>
      </c>
      <c r="E26" t="s">
        <v>106</v>
      </c>
      <c r="F26">
        <v>85</v>
      </c>
      <c r="G26">
        <v>1700</v>
      </c>
      <c r="H26">
        <f t="shared" si="1"/>
        <v>178644</v>
      </c>
      <c r="J26" t="s">
        <v>111</v>
      </c>
      <c r="K26">
        <v>55</v>
      </c>
      <c r="L26">
        <v>1800</v>
      </c>
      <c r="M26">
        <f t="shared" si="14"/>
        <v>133144</v>
      </c>
      <c r="O26">
        <f t="shared" si="15"/>
        <v>45500</v>
      </c>
      <c r="P26">
        <v>180</v>
      </c>
      <c r="Q26">
        <f t="shared" si="2"/>
        <v>17739</v>
      </c>
      <c r="R26" s="13">
        <f t="shared" si="3"/>
        <v>9.9298045274400497</v>
      </c>
      <c r="S26" s="13">
        <f t="shared" si="4"/>
        <v>10.070691696262472</v>
      </c>
      <c r="T26" s="4"/>
      <c r="U26" t="s">
        <v>180</v>
      </c>
      <c r="V26">
        <v>430.3</v>
      </c>
      <c r="W26">
        <v>60</v>
      </c>
      <c r="X26">
        <f t="shared" si="5"/>
        <v>25818</v>
      </c>
      <c r="Y26" t="s">
        <v>106</v>
      </c>
      <c r="Z26">
        <v>85</v>
      </c>
      <c r="AA26">
        <v>1700</v>
      </c>
      <c r="AB26">
        <f t="shared" si="6"/>
        <v>170318</v>
      </c>
      <c r="AC26">
        <f t="shared" si="7"/>
        <v>187000</v>
      </c>
      <c r="AD26" t="s">
        <v>111</v>
      </c>
      <c r="AE26">
        <v>55</v>
      </c>
      <c r="AF26">
        <v>1800</v>
      </c>
      <c r="AG26">
        <f t="shared" si="11"/>
        <v>124818</v>
      </c>
      <c r="AH26">
        <f t="shared" si="12"/>
        <v>146818</v>
      </c>
      <c r="AI26">
        <f t="shared" si="13"/>
        <v>45500</v>
      </c>
      <c r="AJ26">
        <v>160</v>
      </c>
      <c r="AK26">
        <f t="shared" si="8"/>
        <v>15768</v>
      </c>
      <c r="AL26" s="13">
        <f t="shared" si="9"/>
        <v>9.2579762561796173</v>
      </c>
      <c r="AM26" s="13">
        <f t="shared" si="10"/>
        <v>10.801496702181634</v>
      </c>
    </row>
    <row r="27" spans="1:39" x14ac:dyDescent="0.3">
      <c r="A27" t="s">
        <v>78</v>
      </c>
      <c r="B27">
        <v>426.8</v>
      </c>
      <c r="C27">
        <v>80</v>
      </c>
      <c r="D27">
        <f t="shared" si="0"/>
        <v>34144</v>
      </c>
      <c r="E27" t="s">
        <v>106</v>
      </c>
      <c r="F27">
        <v>85</v>
      </c>
      <c r="G27">
        <v>1700</v>
      </c>
      <c r="H27">
        <f t="shared" si="1"/>
        <v>178644</v>
      </c>
      <c r="J27" t="s">
        <v>111</v>
      </c>
      <c r="K27">
        <v>55</v>
      </c>
      <c r="L27">
        <v>1800</v>
      </c>
      <c r="M27">
        <f t="shared" si="14"/>
        <v>133144</v>
      </c>
      <c r="O27">
        <f t="shared" si="15"/>
        <v>45500</v>
      </c>
      <c r="P27">
        <v>180</v>
      </c>
      <c r="Q27">
        <f t="shared" si="2"/>
        <v>17739</v>
      </c>
      <c r="R27" s="13">
        <f t="shared" si="3"/>
        <v>9.9298045274400497</v>
      </c>
      <c r="S27" s="13">
        <f t="shared" si="4"/>
        <v>10.070691696262472</v>
      </c>
      <c r="T27" s="4"/>
      <c r="U27" t="s">
        <v>181</v>
      </c>
      <c r="V27">
        <v>420</v>
      </c>
      <c r="W27">
        <v>80</v>
      </c>
      <c r="X27">
        <f t="shared" si="5"/>
        <v>33600</v>
      </c>
      <c r="Y27" t="s">
        <v>106</v>
      </c>
      <c r="Z27">
        <v>85</v>
      </c>
      <c r="AA27">
        <v>1700</v>
      </c>
      <c r="AB27">
        <f t="shared" si="6"/>
        <v>178100</v>
      </c>
      <c r="AC27">
        <f t="shared" si="7"/>
        <v>187000</v>
      </c>
      <c r="AD27" t="s">
        <v>111</v>
      </c>
      <c r="AE27">
        <v>55</v>
      </c>
      <c r="AF27">
        <v>1800</v>
      </c>
      <c r="AG27">
        <f t="shared" si="11"/>
        <v>132600</v>
      </c>
      <c r="AH27">
        <f t="shared" si="12"/>
        <v>154600</v>
      </c>
      <c r="AI27">
        <f t="shared" si="13"/>
        <v>45500</v>
      </c>
      <c r="AJ27">
        <v>160</v>
      </c>
      <c r="AK27">
        <f t="shared" si="8"/>
        <v>15768</v>
      </c>
      <c r="AL27" s="13">
        <f t="shared" si="9"/>
        <v>8.8534531162268397</v>
      </c>
      <c r="AM27" s="13">
        <f t="shared" si="10"/>
        <v>11.295027904616946</v>
      </c>
    </row>
    <row r="28" spans="1:39" x14ac:dyDescent="0.3">
      <c r="A28" t="s">
        <v>79</v>
      </c>
      <c r="B28">
        <v>426.8</v>
      </c>
      <c r="C28">
        <v>80</v>
      </c>
      <c r="D28">
        <f t="shared" si="0"/>
        <v>34144</v>
      </c>
      <c r="E28" t="s">
        <v>106</v>
      </c>
      <c r="F28">
        <v>85</v>
      </c>
      <c r="G28">
        <v>1700</v>
      </c>
      <c r="H28">
        <f t="shared" si="1"/>
        <v>178644</v>
      </c>
      <c r="J28" t="s">
        <v>111</v>
      </c>
      <c r="K28">
        <v>55</v>
      </c>
      <c r="L28">
        <v>1800</v>
      </c>
      <c r="M28">
        <f t="shared" si="14"/>
        <v>133144</v>
      </c>
      <c r="O28">
        <f t="shared" si="15"/>
        <v>45500</v>
      </c>
      <c r="P28">
        <v>180</v>
      </c>
      <c r="Q28">
        <f t="shared" si="2"/>
        <v>17739</v>
      </c>
      <c r="R28" s="13">
        <f t="shared" si="3"/>
        <v>9.9298045274400497</v>
      </c>
      <c r="S28" s="13">
        <f t="shared" si="4"/>
        <v>10.070691696262472</v>
      </c>
      <c r="T28" s="4"/>
      <c r="U28" t="s">
        <v>182</v>
      </c>
      <c r="V28">
        <v>420</v>
      </c>
      <c r="W28">
        <v>80</v>
      </c>
      <c r="X28">
        <f t="shared" si="5"/>
        <v>33600</v>
      </c>
      <c r="Y28" t="s">
        <v>106</v>
      </c>
      <c r="Z28">
        <v>85</v>
      </c>
      <c r="AA28">
        <v>1700</v>
      </c>
      <c r="AB28">
        <f t="shared" si="6"/>
        <v>178100</v>
      </c>
      <c r="AC28">
        <f t="shared" si="7"/>
        <v>187000</v>
      </c>
      <c r="AD28" t="s">
        <v>111</v>
      </c>
      <c r="AE28">
        <v>55</v>
      </c>
      <c r="AF28">
        <v>1800</v>
      </c>
      <c r="AG28">
        <f t="shared" si="11"/>
        <v>132600</v>
      </c>
      <c r="AH28">
        <f t="shared" si="12"/>
        <v>154600</v>
      </c>
      <c r="AI28">
        <f t="shared" si="13"/>
        <v>45500</v>
      </c>
      <c r="AJ28">
        <v>160</v>
      </c>
      <c r="AK28">
        <f t="shared" si="8"/>
        <v>15768</v>
      </c>
      <c r="AL28" s="13">
        <f t="shared" si="9"/>
        <v>8.8534531162268397</v>
      </c>
      <c r="AM28" s="13">
        <f t="shared" si="10"/>
        <v>11.295027904616946</v>
      </c>
    </row>
    <row r="29" spans="1:39" x14ac:dyDescent="0.3">
      <c r="A29" t="s">
        <v>80</v>
      </c>
      <c r="B29">
        <v>426.8</v>
      </c>
      <c r="C29">
        <v>80</v>
      </c>
      <c r="D29">
        <f t="shared" si="0"/>
        <v>34144</v>
      </c>
      <c r="E29" t="s">
        <v>106</v>
      </c>
      <c r="F29">
        <v>85</v>
      </c>
      <c r="G29">
        <v>1700</v>
      </c>
      <c r="H29">
        <f t="shared" si="1"/>
        <v>178644</v>
      </c>
      <c r="J29" t="s">
        <v>111</v>
      </c>
      <c r="K29">
        <v>55</v>
      </c>
      <c r="L29">
        <v>1800</v>
      </c>
      <c r="M29">
        <f t="shared" si="14"/>
        <v>133144</v>
      </c>
      <c r="O29">
        <f t="shared" si="15"/>
        <v>45500</v>
      </c>
      <c r="P29">
        <v>180</v>
      </c>
      <c r="Q29">
        <f t="shared" si="2"/>
        <v>17739</v>
      </c>
      <c r="R29" s="13">
        <f t="shared" si="3"/>
        <v>9.9298045274400497</v>
      </c>
      <c r="S29" s="13">
        <f t="shared" si="4"/>
        <v>10.070691696262472</v>
      </c>
      <c r="T29" s="4"/>
      <c r="U29" t="s">
        <v>183</v>
      </c>
      <c r="V29">
        <v>420</v>
      </c>
      <c r="W29">
        <v>80</v>
      </c>
      <c r="X29">
        <f t="shared" si="5"/>
        <v>33600</v>
      </c>
      <c r="Y29" t="s">
        <v>106</v>
      </c>
      <c r="Z29">
        <v>85</v>
      </c>
      <c r="AA29">
        <v>1700</v>
      </c>
      <c r="AB29">
        <f t="shared" si="6"/>
        <v>178100</v>
      </c>
      <c r="AC29">
        <f t="shared" si="7"/>
        <v>187000</v>
      </c>
      <c r="AD29" t="s">
        <v>111</v>
      </c>
      <c r="AE29">
        <v>55</v>
      </c>
      <c r="AF29">
        <v>1800</v>
      </c>
      <c r="AG29">
        <f t="shared" si="11"/>
        <v>132600</v>
      </c>
      <c r="AH29">
        <f t="shared" si="12"/>
        <v>154600</v>
      </c>
      <c r="AI29">
        <f t="shared" si="13"/>
        <v>45500</v>
      </c>
      <c r="AJ29">
        <v>160</v>
      </c>
      <c r="AK29">
        <f t="shared" si="8"/>
        <v>15768</v>
      </c>
      <c r="AL29" s="13">
        <f t="shared" si="9"/>
        <v>8.8534531162268397</v>
      </c>
      <c r="AM29" s="13">
        <f t="shared" si="10"/>
        <v>11.295027904616946</v>
      </c>
    </row>
    <row r="30" spans="1:39" x14ac:dyDescent="0.3">
      <c r="A30" t="s">
        <v>81</v>
      </c>
      <c r="B30">
        <v>426.8</v>
      </c>
      <c r="C30">
        <v>80</v>
      </c>
      <c r="D30">
        <f t="shared" si="0"/>
        <v>34144</v>
      </c>
      <c r="E30" t="s">
        <v>106</v>
      </c>
      <c r="F30">
        <v>85</v>
      </c>
      <c r="G30">
        <v>1700</v>
      </c>
      <c r="H30">
        <f t="shared" si="1"/>
        <v>178644</v>
      </c>
      <c r="J30" t="s">
        <v>111</v>
      </c>
      <c r="K30">
        <v>55</v>
      </c>
      <c r="L30">
        <v>1800</v>
      </c>
      <c r="M30">
        <f t="shared" si="14"/>
        <v>133144</v>
      </c>
      <c r="O30">
        <f t="shared" si="15"/>
        <v>45500</v>
      </c>
      <c r="P30">
        <v>180</v>
      </c>
      <c r="Q30">
        <f t="shared" si="2"/>
        <v>17739</v>
      </c>
      <c r="R30" s="13">
        <f t="shared" si="3"/>
        <v>9.9298045274400497</v>
      </c>
      <c r="S30" s="13">
        <f t="shared" si="4"/>
        <v>10.070691696262472</v>
      </c>
      <c r="T30" s="4"/>
      <c r="U30" t="s">
        <v>184</v>
      </c>
      <c r="V30">
        <v>420.1</v>
      </c>
      <c r="W30">
        <v>80</v>
      </c>
      <c r="X30">
        <f t="shared" si="5"/>
        <v>33608</v>
      </c>
      <c r="Y30" t="s">
        <v>106</v>
      </c>
      <c r="Z30">
        <v>85</v>
      </c>
      <c r="AA30">
        <v>1700</v>
      </c>
      <c r="AB30">
        <f t="shared" si="6"/>
        <v>178108</v>
      </c>
      <c r="AC30">
        <f t="shared" si="7"/>
        <v>187000</v>
      </c>
      <c r="AD30" t="s">
        <v>111</v>
      </c>
      <c r="AE30">
        <v>55</v>
      </c>
      <c r="AF30">
        <v>1800</v>
      </c>
      <c r="AG30">
        <f t="shared" si="11"/>
        <v>132608</v>
      </c>
      <c r="AH30">
        <f t="shared" si="12"/>
        <v>154608</v>
      </c>
      <c r="AI30">
        <f t="shared" si="13"/>
        <v>45500</v>
      </c>
      <c r="AJ30">
        <v>160</v>
      </c>
      <c r="AK30">
        <f t="shared" si="8"/>
        <v>15768</v>
      </c>
      <c r="AL30" s="13">
        <f t="shared" si="9"/>
        <v>8.8530554495025484</v>
      </c>
      <c r="AM30" s="13">
        <f t="shared" si="10"/>
        <v>11.295535261288686</v>
      </c>
    </row>
    <row r="31" spans="1:39" x14ac:dyDescent="0.3">
      <c r="A31" t="s">
        <v>82</v>
      </c>
      <c r="B31">
        <v>426.8</v>
      </c>
      <c r="C31">
        <v>80</v>
      </c>
      <c r="D31">
        <f t="shared" si="0"/>
        <v>34144</v>
      </c>
      <c r="E31" t="s">
        <v>106</v>
      </c>
      <c r="F31">
        <v>85</v>
      </c>
      <c r="G31">
        <v>1700</v>
      </c>
      <c r="H31">
        <f t="shared" si="1"/>
        <v>178644</v>
      </c>
      <c r="J31" t="s">
        <v>111</v>
      </c>
      <c r="K31">
        <v>55</v>
      </c>
      <c r="L31">
        <v>1800</v>
      </c>
      <c r="M31">
        <f t="shared" si="14"/>
        <v>133144</v>
      </c>
      <c r="O31">
        <f t="shared" si="15"/>
        <v>45500</v>
      </c>
      <c r="P31">
        <v>180</v>
      </c>
      <c r="Q31">
        <f t="shared" si="2"/>
        <v>17739</v>
      </c>
      <c r="R31" s="13">
        <f t="shared" si="3"/>
        <v>9.9298045274400497</v>
      </c>
      <c r="S31" s="13">
        <f t="shared" si="4"/>
        <v>10.070691696262472</v>
      </c>
      <c r="T31" s="4"/>
      <c r="U31" t="s">
        <v>185</v>
      </c>
      <c r="V31">
        <v>436</v>
      </c>
      <c r="W31">
        <v>80</v>
      </c>
      <c r="X31">
        <f t="shared" si="5"/>
        <v>34880</v>
      </c>
      <c r="Y31" t="s">
        <v>106</v>
      </c>
      <c r="Z31">
        <v>85</v>
      </c>
      <c r="AA31">
        <v>1700</v>
      </c>
      <c r="AB31">
        <f t="shared" si="6"/>
        <v>179380</v>
      </c>
      <c r="AC31">
        <f t="shared" si="7"/>
        <v>187000</v>
      </c>
      <c r="AD31" t="s">
        <v>111</v>
      </c>
      <c r="AE31">
        <v>55</v>
      </c>
      <c r="AF31">
        <v>1800</v>
      </c>
      <c r="AG31">
        <f t="shared" si="11"/>
        <v>133880</v>
      </c>
      <c r="AH31">
        <f t="shared" si="12"/>
        <v>155880</v>
      </c>
      <c r="AI31">
        <f t="shared" si="13"/>
        <v>45500</v>
      </c>
      <c r="AJ31">
        <v>160</v>
      </c>
      <c r="AK31">
        <f t="shared" si="8"/>
        <v>15768</v>
      </c>
      <c r="AL31" s="13">
        <f t="shared" si="9"/>
        <v>8.7902776229234014</v>
      </c>
      <c r="AM31" s="13">
        <f t="shared" si="10"/>
        <v>11.376204972095383</v>
      </c>
    </row>
    <row r="32" spans="1:39" x14ac:dyDescent="0.3">
      <c r="A32" t="s">
        <v>83</v>
      </c>
      <c r="B32">
        <v>426.8</v>
      </c>
      <c r="C32">
        <v>80</v>
      </c>
      <c r="D32">
        <f t="shared" si="0"/>
        <v>34144</v>
      </c>
      <c r="E32" t="s">
        <v>106</v>
      </c>
      <c r="F32">
        <v>85</v>
      </c>
      <c r="G32">
        <v>1700</v>
      </c>
      <c r="H32">
        <f t="shared" si="1"/>
        <v>178644</v>
      </c>
      <c r="J32" t="s">
        <v>111</v>
      </c>
      <c r="K32">
        <v>55</v>
      </c>
      <c r="L32">
        <v>1800</v>
      </c>
      <c r="M32">
        <f t="shared" si="14"/>
        <v>133144</v>
      </c>
      <c r="O32">
        <f t="shared" si="15"/>
        <v>45500</v>
      </c>
      <c r="P32">
        <v>180</v>
      </c>
      <c r="Q32">
        <f t="shared" si="2"/>
        <v>17739</v>
      </c>
      <c r="R32" s="13">
        <f t="shared" si="3"/>
        <v>9.9298045274400497</v>
      </c>
      <c r="S32" s="13">
        <f t="shared" si="4"/>
        <v>10.070691696262472</v>
      </c>
      <c r="T32" s="4"/>
      <c r="U32" t="s">
        <v>186</v>
      </c>
      <c r="V32">
        <v>395.1</v>
      </c>
      <c r="W32">
        <v>80</v>
      </c>
      <c r="X32">
        <f t="shared" si="5"/>
        <v>31608</v>
      </c>
      <c r="Y32" t="s">
        <v>106</v>
      </c>
      <c r="Z32">
        <v>85</v>
      </c>
      <c r="AA32">
        <v>1700</v>
      </c>
      <c r="AB32">
        <f t="shared" si="6"/>
        <v>176108</v>
      </c>
      <c r="AC32">
        <f t="shared" si="7"/>
        <v>187000</v>
      </c>
      <c r="AD32" t="s">
        <v>111</v>
      </c>
      <c r="AE32">
        <v>55</v>
      </c>
      <c r="AF32">
        <v>1800</v>
      </c>
      <c r="AG32">
        <f t="shared" si="11"/>
        <v>130608</v>
      </c>
      <c r="AH32">
        <f t="shared" si="12"/>
        <v>152608</v>
      </c>
      <c r="AI32">
        <f t="shared" si="13"/>
        <v>45500</v>
      </c>
      <c r="AJ32">
        <v>160</v>
      </c>
      <c r="AK32">
        <f t="shared" si="8"/>
        <v>15768</v>
      </c>
      <c r="AL32" s="13">
        <f t="shared" si="9"/>
        <v>8.953596656597087</v>
      </c>
      <c r="AM32" s="13">
        <f t="shared" si="10"/>
        <v>11.168696093353628</v>
      </c>
    </row>
    <row r="33" spans="1:39" x14ac:dyDescent="0.3">
      <c r="A33" t="s">
        <v>84</v>
      </c>
      <c r="B33">
        <v>426.8</v>
      </c>
      <c r="C33">
        <v>80</v>
      </c>
      <c r="D33">
        <f t="shared" si="0"/>
        <v>34144</v>
      </c>
      <c r="E33" t="s">
        <v>106</v>
      </c>
      <c r="F33">
        <v>85</v>
      </c>
      <c r="G33">
        <v>1700</v>
      </c>
      <c r="H33">
        <f t="shared" si="1"/>
        <v>178644</v>
      </c>
      <c r="J33" t="s">
        <v>111</v>
      </c>
      <c r="K33">
        <v>55</v>
      </c>
      <c r="L33">
        <v>1800</v>
      </c>
      <c r="M33">
        <f t="shared" si="14"/>
        <v>133144</v>
      </c>
      <c r="O33">
        <f t="shared" si="15"/>
        <v>45500</v>
      </c>
      <c r="P33">
        <v>180</v>
      </c>
      <c r="Q33">
        <f t="shared" si="2"/>
        <v>17739</v>
      </c>
      <c r="R33" s="13">
        <f t="shared" si="3"/>
        <v>9.9298045274400497</v>
      </c>
      <c r="S33" s="13">
        <f t="shared" si="4"/>
        <v>10.070691696262472</v>
      </c>
      <c r="T33" s="4"/>
      <c r="U33" t="s">
        <v>187</v>
      </c>
      <c r="V33">
        <v>522</v>
      </c>
      <c r="W33">
        <v>80</v>
      </c>
      <c r="X33">
        <f t="shared" si="5"/>
        <v>41760</v>
      </c>
      <c r="Y33" t="s">
        <v>105</v>
      </c>
      <c r="Z33">
        <v>115</v>
      </c>
      <c r="AA33">
        <v>1700</v>
      </c>
      <c r="AB33">
        <f t="shared" si="6"/>
        <v>237260</v>
      </c>
      <c r="AC33">
        <f t="shared" si="7"/>
        <v>253000</v>
      </c>
      <c r="AD33" t="s">
        <v>205</v>
      </c>
      <c r="AJ33">
        <v>200</v>
      </c>
      <c r="AK33">
        <f t="shared" si="8"/>
        <v>19710</v>
      </c>
      <c r="AL33" s="13">
        <f t="shared" si="9"/>
        <v>8.3073421562842444</v>
      </c>
      <c r="AM33" s="13">
        <f t="shared" si="10"/>
        <v>12.037544393708778</v>
      </c>
    </row>
    <row r="34" spans="1:39" x14ac:dyDescent="0.3">
      <c r="A34" t="s">
        <v>85</v>
      </c>
      <c r="B34">
        <v>426.8</v>
      </c>
      <c r="C34">
        <v>80</v>
      </c>
      <c r="D34">
        <f t="shared" si="0"/>
        <v>34144</v>
      </c>
      <c r="E34" t="s">
        <v>106</v>
      </c>
      <c r="F34">
        <v>85</v>
      </c>
      <c r="G34">
        <v>1700</v>
      </c>
      <c r="H34">
        <f t="shared" si="1"/>
        <v>178644</v>
      </c>
      <c r="J34" t="s">
        <v>111</v>
      </c>
      <c r="K34">
        <v>55</v>
      </c>
      <c r="L34">
        <v>1800</v>
      </c>
      <c r="M34">
        <f t="shared" si="14"/>
        <v>133144</v>
      </c>
      <c r="O34">
        <f t="shared" si="15"/>
        <v>45500</v>
      </c>
      <c r="P34">
        <v>180</v>
      </c>
      <c r="Q34">
        <f t="shared" si="2"/>
        <v>17739</v>
      </c>
      <c r="R34" s="13">
        <f t="shared" si="3"/>
        <v>9.9298045274400497</v>
      </c>
      <c r="S34" s="13">
        <f t="shared" si="4"/>
        <v>10.070691696262472</v>
      </c>
      <c r="T34" s="4"/>
    </row>
    <row r="35" spans="1:39" x14ac:dyDescent="0.3">
      <c r="A35" t="s">
        <v>86</v>
      </c>
      <c r="B35">
        <v>428.7</v>
      </c>
      <c r="C35">
        <v>80</v>
      </c>
      <c r="D35">
        <f t="shared" si="0"/>
        <v>34296</v>
      </c>
      <c r="E35" t="s">
        <v>106</v>
      </c>
      <c r="F35">
        <v>85</v>
      </c>
      <c r="G35">
        <v>1700</v>
      </c>
      <c r="H35">
        <f t="shared" si="1"/>
        <v>178796</v>
      </c>
      <c r="J35" t="s">
        <v>111</v>
      </c>
      <c r="K35">
        <v>55</v>
      </c>
      <c r="L35">
        <v>1800</v>
      </c>
      <c r="M35">
        <f t="shared" si="14"/>
        <v>133296</v>
      </c>
      <c r="O35">
        <f t="shared" si="15"/>
        <v>45500</v>
      </c>
      <c r="P35">
        <v>180</v>
      </c>
      <c r="Q35">
        <f t="shared" si="2"/>
        <v>17739</v>
      </c>
      <c r="R35" s="13">
        <f t="shared" si="3"/>
        <v>9.9213628940244742</v>
      </c>
      <c r="S35" s="13">
        <f t="shared" si="4"/>
        <v>10.079260386718531</v>
      </c>
      <c r="T35" s="4"/>
    </row>
    <row r="36" spans="1:39" x14ac:dyDescent="0.3">
      <c r="A36" t="s">
        <v>87</v>
      </c>
      <c r="B36">
        <v>467.1</v>
      </c>
      <c r="C36">
        <v>80</v>
      </c>
      <c r="D36">
        <f t="shared" si="0"/>
        <v>37368</v>
      </c>
      <c r="E36" t="s">
        <v>105</v>
      </c>
      <c r="F36">
        <v>115</v>
      </c>
      <c r="G36">
        <v>1700</v>
      </c>
      <c r="H36">
        <f t="shared" si="1"/>
        <v>232868</v>
      </c>
      <c r="J36" t="s">
        <v>205</v>
      </c>
      <c r="P36">
        <v>220</v>
      </c>
      <c r="Q36">
        <f t="shared" si="2"/>
        <v>21681</v>
      </c>
      <c r="R36" s="13">
        <f t="shared" si="3"/>
        <v>9.3104247900097921</v>
      </c>
      <c r="S36" s="13">
        <f t="shared" si="4"/>
        <v>10.740648494073152</v>
      </c>
      <c r="T36" s="4"/>
    </row>
    <row r="37" spans="1:39" x14ac:dyDescent="0.3">
      <c r="A37" t="s">
        <v>88</v>
      </c>
      <c r="B37">
        <v>420</v>
      </c>
      <c r="C37">
        <v>80</v>
      </c>
      <c r="D37">
        <f t="shared" si="0"/>
        <v>33600</v>
      </c>
      <c r="E37" t="s">
        <v>106</v>
      </c>
      <c r="F37">
        <v>85</v>
      </c>
      <c r="G37">
        <v>1700</v>
      </c>
      <c r="H37">
        <f t="shared" si="1"/>
        <v>178100</v>
      </c>
      <c r="J37" t="s">
        <v>111</v>
      </c>
      <c r="K37">
        <v>55</v>
      </c>
      <c r="L37">
        <v>1800</v>
      </c>
      <c r="M37">
        <f t="shared" si="14"/>
        <v>132600</v>
      </c>
      <c r="O37">
        <f t="shared" si="15"/>
        <v>45500</v>
      </c>
      <c r="P37">
        <v>180</v>
      </c>
      <c r="Q37">
        <f t="shared" si="2"/>
        <v>17739</v>
      </c>
      <c r="R37" s="13">
        <f t="shared" si="3"/>
        <v>9.9601347557551936</v>
      </c>
      <c r="S37" s="13">
        <f t="shared" si="4"/>
        <v>10.040024804103952</v>
      </c>
      <c r="T37" s="4"/>
    </row>
    <row r="38" spans="1:39" x14ac:dyDescent="0.3">
      <c r="A38" t="s">
        <v>89</v>
      </c>
      <c r="B38">
        <v>420</v>
      </c>
      <c r="C38">
        <v>80</v>
      </c>
      <c r="D38">
        <f t="shared" si="0"/>
        <v>33600</v>
      </c>
      <c r="E38" t="s">
        <v>106</v>
      </c>
      <c r="F38">
        <v>85</v>
      </c>
      <c r="G38">
        <v>1700</v>
      </c>
      <c r="H38">
        <f t="shared" si="1"/>
        <v>178100</v>
      </c>
      <c r="J38" t="s">
        <v>111</v>
      </c>
      <c r="K38">
        <v>55</v>
      </c>
      <c r="L38">
        <v>1800</v>
      </c>
      <c r="M38">
        <f t="shared" si="14"/>
        <v>132600</v>
      </c>
      <c r="O38">
        <f t="shared" si="15"/>
        <v>45500</v>
      </c>
      <c r="P38">
        <v>180</v>
      </c>
      <c r="Q38">
        <f t="shared" si="2"/>
        <v>17739</v>
      </c>
      <c r="R38" s="13">
        <f t="shared" si="3"/>
        <v>9.9601347557551936</v>
      </c>
      <c r="S38" s="13">
        <f t="shared" si="4"/>
        <v>10.040024804103952</v>
      </c>
      <c r="T38" s="4"/>
    </row>
    <row r="39" spans="1:39" x14ac:dyDescent="0.3">
      <c r="A39" t="s">
        <v>90</v>
      </c>
      <c r="B39">
        <v>420</v>
      </c>
      <c r="C39">
        <v>80</v>
      </c>
      <c r="D39">
        <f t="shared" si="0"/>
        <v>33600</v>
      </c>
      <c r="E39" t="s">
        <v>106</v>
      </c>
      <c r="F39">
        <v>85</v>
      </c>
      <c r="G39">
        <v>1700</v>
      </c>
      <c r="H39">
        <f t="shared" si="1"/>
        <v>178100</v>
      </c>
      <c r="J39" t="s">
        <v>111</v>
      </c>
      <c r="K39">
        <v>55</v>
      </c>
      <c r="L39">
        <v>1800</v>
      </c>
      <c r="M39">
        <f t="shared" si="14"/>
        <v>132600</v>
      </c>
      <c r="O39">
        <f t="shared" si="15"/>
        <v>45500</v>
      </c>
      <c r="P39">
        <v>180</v>
      </c>
      <c r="Q39">
        <f t="shared" si="2"/>
        <v>17739</v>
      </c>
      <c r="R39" s="13">
        <f t="shared" si="3"/>
        <v>9.9601347557551936</v>
      </c>
      <c r="S39" s="13">
        <f t="shared" si="4"/>
        <v>10.040024804103952</v>
      </c>
      <c r="T39" s="4"/>
    </row>
    <row r="40" spans="1:39" x14ac:dyDescent="0.3">
      <c r="A40" t="s">
        <v>91</v>
      </c>
      <c r="B40">
        <v>420</v>
      </c>
      <c r="C40">
        <v>80</v>
      </c>
      <c r="D40">
        <f t="shared" si="0"/>
        <v>33600</v>
      </c>
      <c r="E40" t="s">
        <v>106</v>
      </c>
      <c r="F40">
        <v>85</v>
      </c>
      <c r="G40">
        <v>1700</v>
      </c>
      <c r="H40">
        <f t="shared" si="1"/>
        <v>178100</v>
      </c>
      <c r="J40" t="s">
        <v>111</v>
      </c>
      <c r="K40">
        <v>55</v>
      </c>
      <c r="L40">
        <v>1800</v>
      </c>
      <c r="M40">
        <f t="shared" si="14"/>
        <v>132600</v>
      </c>
      <c r="O40">
        <f t="shared" si="15"/>
        <v>45500</v>
      </c>
      <c r="P40">
        <v>180</v>
      </c>
      <c r="Q40">
        <f t="shared" si="2"/>
        <v>17739</v>
      </c>
      <c r="R40" s="13">
        <f t="shared" si="3"/>
        <v>9.9601347557551936</v>
      </c>
      <c r="S40" s="13">
        <f t="shared" si="4"/>
        <v>10.040024804103952</v>
      </c>
      <c r="T40" s="4"/>
    </row>
    <row r="41" spans="1:39" x14ac:dyDescent="0.3">
      <c r="A41" t="s">
        <v>92</v>
      </c>
      <c r="B41">
        <v>394.1</v>
      </c>
      <c r="C41">
        <v>80</v>
      </c>
      <c r="D41">
        <f t="shared" si="0"/>
        <v>31528</v>
      </c>
      <c r="E41" t="s">
        <v>106</v>
      </c>
      <c r="F41">
        <v>85</v>
      </c>
      <c r="G41">
        <v>1700</v>
      </c>
      <c r="H41">
        <f t="shared" si="1"/>
        <v>176028</v>
      </c>
      <c r="J41" t="s">
        <v>111</v>
      </c>
      <c r="K41">
        <v>55</v>
      </c>
      <c r="L41">
        <v>1800</v>
      </c>
      <c r="M41">
        <f t="shared" si="14"/>
        <v>130528</v>
      </c>
      <c r="O41">
        <f t="shared" si="15"/>
        <v>45500</v>
      </c>
      <c r="P41">
        <v>180</v>
      </c>
      <c r="Q41">
        <f t="shared" si="2"/>
        <v>17739</v>
      </c>
      <c r="R41" s="13">
        <f t="shared" si="3"/>
        <v>10.077374054127752</v>
      </c>
      <c r="S41" s="13">
        <f t="shared" si="4"/>
        <v>9.9232200236766452</v>
      </c>
      <c r="T41" s="4"/>
    </row>
    <row r="42" spans="1:39" x14ac:dyDescent="0.3">
      <c r="A42" t="s">
        <v>93</v>
      </c>
      <c r="B42">
        <v>342.3</v>
      </c>
      <c r="C42">
        <v>80</v>
      </c>
      <c r="D42">
        <f t="shared" si="0"/>
        <v>27384</v>
      </c>
      <c r="E42" t="s">
        <v>106</v>
      </c>
      <c r="F42">
        <v>55</v>
      </c>
      <c r="G42">
        <v>1700</v>
      </c>
      <c r="H42">
        <f t="shared" si="1"/>
        <v>120884</v>
      </c>
      <c r="J42" t="s">
        <v>111</v>
      </c>
      <c r="P42">
        <v>150</v>
      </c>
      <c r="Q42">
        <f t="shared" si="2"/>
        <v>14782.5</v>
      </c>
      <c r="R42" s="13">
        <f t="shared" si="3"/>
        <v>12.228665497501737</v>
      </c>
      <c r="S42" s="13">
        <f t="shared" si="4"/>
        <v>8.17750718755285</v>
      </c>
      <c r="T42" s="4"/>
    </row>
    <row r="43" spans="1:39" x14ac:dyDescent="0.3">
      <c r="A43" t="s">
        <v>94</v>
      </c>
      <c r="B43">
        <v>388.7</v>
      </c>
      <c r="C43">
        <v>80</v>
      </c>
      <c r="D43">
        <f t="shared" si="0"/>
        <v>31096</v>
      </c>
      <c r="E43" t="s">
        <v>106</v>
      </c>
      <c r="F43">
        <v>85</v>
      </c>
      <c r="G43">
        <v>1700</v>
      </c>
      <c r="H43">
        <f t="shared" si="1"/>
        <v>175596</v>
      </c>
      <c r="J43" t="s">
        <v>111</v>
      </c>
      <c r="K43">
        <v>55</v>
      </c>
      <c r="L43">
        <v>1800</v>
      </c>
      <c r="M43">
        <f t="shared" si="14"/>
        <v>130096</v>
      </c>
      <c r="O43">
        <f t="shared" si="15"/>
        <v>45500</v>
      </c>
      <c r="P43">
        <v>180</v>
      </c>
      <c r="Q43">
        <f t="shared" si="2"/>
        <v>17739</v>
      </c>
      <c r="R43" s="13">
        <f t="shared" si="3"/>
        <v>10.102166336363014</v>
      </c>
      <c r="S43" s="13">
        <f t="shared" si="4"/>
        <v>9.8988669034331132</v>
      </c>
      <c r="T43" s="4"/>
    </row>
    <row r="44" spans="1:39" x14ac:dyDescent="0.3">
      <c r="A44" t="s">
        <v>95</v>
      </c>
      <c r="B44">
        <v>413</v>
      </c>
      <c r="C44">
        <v>80</v>
      </c>
      <c r="D44">
        <f t="shared" si="0"/>
        <v>33040</v>
      </c>
      <c r="E44" t="s">
        <v>106</v>
      </c>
      <c r="F44">
        <v>85</v>
      </c>
      <c r="G44">
        <v>1700</v>
      </c>
      <c r="H44">
        <f t="shared" si="1"/>
        <v>177540</v>
      </c>
      <c r="J44" t="s">
        <v>111</v>
      </c>
      <c r="K44">
        <v>55</v>
      </c>
      <c r="L44">
        <v>1800</v>
      </c>
      <c r="M44">
        <f t="shared" si="14"/>
        <v>132040</v>
      </c>
      <c r="O44">
        <f t="shared" si="15"/>
        <v>45500</v>
      </c>
      <c r="P44">
        <v>180</v>
      </c>
      <c r="Q44">
        <f t="shared" si="2"/>
        <v>17739</v>
      </c>
      <c r="R44" s="13">
        <f t="shared" si="3"/>
        <v>9.9915511997296385</v>
      </c>
      <c r="S44" s="13">
        <f t="shared" si="4"/>
        <v>10.008455944529004</v>
      </c>
      <c r="T44" s="4"/>
    </row>
    <row r="45" spans="1:39" x14ac:dyDescent="0.3">
      <c r="A45" t="s">
        <v>96</v>
      </c>
      <c r="B45">
        <v>419.3</v>
      </c>
      <c r="C45">
        <v>80</v>
      </c>
      <c r="D45">
        <f t="shared" si="0"/>
        <v>33544</v>
      </c>
      <c r="E45" t="s">
        <v>106</v>
      </c>
      <c r="F45">
        <v>85</v>
      </c>
      <c r="G45">
        <v>1700</v>
      </c>
      <c r="H45">
        <f t="shared" si="1"/>
        <v>178044</v>
      </c>
      <c r="J45" t="s">
        <v>111</v>
      </c>
      <c r="K45">
        <v>55</v>
      </c>
      <c r="L45">
        <v>1800</v>
      </c>
      <c r="M45">
        <f t="shared" si="14"/>
        <v>132544</v>
      </c>
      <c r="O45">
        <f t="shared" si="15"/>
        <v>45500</v>
      </c>
      <c r="P45">
        <v>180</v>
      </c>
      <c r="Q45">
        <f t="shared" si="2"/>
        <v>17739</v>
      </c>
      <c r="R45" s="13">
        <f t="shared" si="3"/>
        <v>9.9632675069084051</v>
      </c>
      <c r="S45" s="13">
        <f t="shared" si="4"/>
        <v>10.036867918146458</v>
      </c>
      <c r="T45" s="4"/>
    </row>
    <row r="46" spans="1:39" x14ac:dyDescent="0.3">
      <c r="A46" t="s">
        <v>97</v>
      </c>
      <c r="B46">
        <v>426.2</v>
      </c>
      <c r="C46">
        <v>80</v>
      </c>
      <c r="D46">
        <f t="shared" si="0"/>
        <v>34096</v>
      </c>
      <c r="E46" t="s">
        <v>106</v>
      </c>
      <c r="F46">
        <v>85</v>
      </c>
      <c r="G46">
        <v>1700</v>
      </c>
      <c r="H46">
        <f t="shared" si="1"/>
        <v>178596</v>
      </c>
      <c r="J46" t="s">
        <v>111</v>
      </c>
      <c r="K46">
        <v>55</v>
      </c>
      <c r="L46">
        <v>1800</v>
      </c>
      <c r="M46">
        <f t="shared" si="14"/>
        <v>133096</v>
      </c>
      <c r="O46">
        <f t="shared" si="15"/>
        <v>45500</v>
      </c>
      <c r="P46">
        <v>180</v>
      </c>
      <c r="Q46">
        <f t="shared" si="2"/>
        <v>17739</v>
      </c>
      <c r="R46" s="13">
        <f t="shared" si="3"/>
        <v>9.9324732916750662</v>
      </c>
      <c r="S46" s="13">
        <f t="shared" si="4"/>
        <v>10.067985794013191</v>
      </c>
      <c r="T46" s="4"/>
    </row>
    <row r="47" spans="1:39" x14ac:dyDescent="0.3">
      <c r="A47" t="s">
        <v>98</v>
      </c>
      <c r="B47">
        <v>427.8</v>
      </c>
      <c r="C47">
        <v>80</v>
      </c>
      <c r="D47">
        <f t="shared" si="0"/>
        <v>34224</v>
      </c>
      <c r="E47" t="s">
        <v>106</v>
      </c>
      <c r="F47">
        <v>85</v>
      </c>
      <c r="G47">
        <v>1700</v>
      </c>
      <c r="H47">
        <f t="shared" si="1"/>
        <v>178724</v>
      </c>
      <c r="J47" t="s">
        <v>111</v>
      </c>
      <c r="K47">
        <v>55</v>
      </c>
      <c r="L47">
        <v>1800</v>
      </c>
      <c r="M47">
        <f t="shared" si="14"/>
        <v>133224</v>
      </c>
      <c r="O47">
        <f t="shared" si="15"/>
        <v>45500</v>
      </c>
      <c r="P47">
        <v>180</v>
      </c>
      <c r="Q47">
        <f t="shared" si="2"/>
        <v>17739</v>
      </c>
      <c r="R47" s="13">
        <f t="shared" si="3"/>
        <v>9.9253597726102818</v>
      </c>
      <c r="S47" s="13">
        <f t="shared" si="4"/>
        <v>10.075201533344607</v>
      </c>
      <c r="T47" s="4"/>
    </row>
    <row r="48" spans="1:39" x14ac:dyDescent="0.3">
      <c r="A48" t="s">
        <v>99</v>
      </c>
      <c r="B48">
        <v>415.7</v>
      </c>
      <c r="C48">
        <v>80</v>
      </c>
      <c r="D48">
        <f t="shared" si="0"/>
        <v>33256</v>
      </c>
      <c r="E48" t="s">
        <v>106</v>
      </c>
      <c r="F48">
        <v>85</v>
      </c>
      <c r="G48">
        <v>1700</v>
      </c>
      <c r="H48">
        <f t="shared" si="1"/>
        <v>177756</v>
      </c>
      <c r="J48" t="s">
        <v>111</v>
      </c>
      <c r="K48">
        <v>55</v>
      </c>
      <c r="L48">
        <v>1800</v>
      </c>
      <c r="M48">
        <f t="shared" si="14"/>
        <v>132256</v>
      </c>
      <c r="O48">
        <f t="shared" si="15"/>
        <v>45500</v>
      </c>
      <c r="P48">
        <v>180</v>
      </c>
      <c r="Q48">
        <f t="shared" si="2"/>
        <v>17739</v>
      </c>
      <c r="R48" s="13">
        <f t="shared" si="3"/>
        <v>9.9794099777222716</v>
      </c>
      <c r="S48" s="13">
        <f t="shared" si="4"/>
        <v>10.02063250465077</v>
      </c>
      <c r="T48" s="4"/>
    </row>
    <row r="49" spans="1:20" x14ac:dyDescent="0.3">
      <c r="A49" t="s">
        <v>100</v>
      </c>
      <c r="B49">
        <v>474</v>
      </c>
      <c r="C49">
        <v>100</v>
      </c>
      <c r="D49">
        <f t="shared" si="0"/>
        <v>47400</v>
      </c>
      <c r="E49" t="s">
        <v>105</v>
      </c>
      <c r="F49">
        <v>115</v>
      </c>
      <c r="G49">
        <v>1700</v>
      </c>
      <c r="H49">
        <f t="shared" si="1"/>
        <v>242900</v>
      </c>
      <c r="J49" t="s">
        <v>102</v>
      </c>
      <c r="P49">
        <v>220</v>
      </c>
      <c r="Q49">
        <f t="shared" si="2"/>
        <v>21681</v>
      </c>
      <c r="R49" s="13">
        <f t="shared" si="3"/>
        <v>8.9258954302181959</v>
      </c>
      <c r="S49" s="13">
        <f t="shared" si="4"/>
        <v>11.203357778700244</v>
      </c>
      <c r="T49" s="4"/>
    </row>
    <row r="50" spans="1:20" x14ac:dyDescent="0.3">
      <c r="A50" t="s">
        <v>101</v>
      </c>
      <c r="B50">
        <v>474</v>
      </c>
      <c r="C50">
        <v>100</v>
      </c>
      <c r="D50">
        <f t="shared" si="0"/>
        <v>47400</v>
      </c>
      <c r="E50" t="s">
        <v>105</v>
      </c>
      <c r="F50">
        <v>115</v>
      </c>
      <c r="G50">
        <v>1700</v>
      </c>
      <c r="H50">
        <f t="shared" si="1"/>
        <v>242900</v>
      </c>
      <c r="J50" t="s">
        <v>102</v>
      </c>
      <c r="P50">
        <v>220</v>
      </c>
      <c r="Q50">
        <f t="shared" si="2"/>
        <v>21681</v>
      </c>
      <c r="R50" s="13">
        <f t="shared" si="3"/>
        <v>8.9258954302181959</v>
      </c>
      <c r="S50" s="13">
        <f t="shared" si="4"/>
        <v>11.203357778700244</v>
      </c>
      <c r="T50" s="4"/>
    </row>
  </sheetData>
  <mergeCells count="2">
    <mergeCell ref="D1:J1"/>
    <mergeCell ref="X1:A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კანიონი პირი</vt:lpstr>
      <vt:lpstr>ვაკის ზონა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nodar meskhi</cp:lastModifiedBy>
  <dcterms:created xsi:type="dcterms:W3CDTF">2026-03-14T15:35:51Z</dcterms:created>
  <dcterms:modified xsi:type="dcterms:W3CDTF">2026-03-15T09:59:47Z</dcterms:modified>
</cp:coreProperties>
</file>