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odar\OneDrive\Рабочий стол\"/>
    </mc:Choice>
  </mc:AlternateContent>
  <xr:revisionPtr revIDLastSave="0" documentId="13_ncr:1_{189802A6-3209-4B5F-8C19-7AD7E8CC34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2" i="2" l="1"/>
  <c r="E182" i="2"/>
  <c r="I182" i="2" s="1"/>
  <c r="O181" i="2"/>
  <c r="E181" i="2"/>
  <c r="I181" i="2" s="1"/>
  <c r="O180" i="2"/>
  <c r="E180" i="2"/>
  <c r="I180" i="2" s="1"/>
  <c r="O179" i="2"/>
  <c r="E179" i="2"/>
  <c r="I179" i="2" s="1"/>
  <c r="O178" i="2"/>
  <c r="P178" i="2" s="1"/>
  <c r="E178" i="2"/>
  <c r="I178" i="2" s="1"/>
  <c r="O177" i="2"/>
  <c r="P177" i="2" s="1"/>
  <c r="E177" i="2"/>
  <c r="I177" i="2" s="1"/>
  <c r="O176" i="2"/>
  <c r="E176" i="2"/>
  <c r="I176" i="2" s="1"/>
  <c r="O175" i="2"/>
  <c r="E175" i="2"/>
  <c r="I175" i="2" s="1"/>
  <c r="O174" i="2"/>
  <c r="E174" i="2"/>
  <c r="I174" i="2" s="1"/>
  <c r="O173" i="2"/>
  <c r="L173" i="2"/>
  <c r="E173" i="2"/>
  <c r="I173" i="2" s="1"/>
  <c r="O172" i="2"/>
  <c r="E172" i="2"/>
  <c r="I172" i="2" s="1"/>
  <c r="O171" i="2"/>
  <c r="E171" i="2"/>
  <c r="I171" i="2" s="1"/>
  <c r="O170" i="2"/>
  <c r="E170" i="2"/>
  <c r="I170" i="2" s="1"/>
  <c r="O169" i="2"/>
  <c r="E169" i="2"/>
  <c r="I169" i="2" s="1"/>
  <c r="O168" i="2"/>
  <c r="P168" i="2" s="1"/>
  <c r="E168" i="2"/>
  <c r="I168" i="2" s="1"/>
  <c r="O167" i="2"/>
  <c r="L167" i="2"/>
  <c r="E167" i="2"/>
  <c r="I167" i="2" s="1"/>
  <c r="O166" i="2"/>
  <c r="E166" i="2"/>
  <c r="I166" i="2" s="1"/>
  <c r="O165" i="2"/>
  <c r="E165" i="2"/>
  <c r="I165" i="2" s="1"/>
  <c r="O164" i="2"/>
  <c r="P164" i="2" s="1"/>
  <c r="E164" i="2"/>
  <c r="I164" i="2" s="1"/>
  <c r="O163" i="2"/>
  <c r="E163" i="2"/>
  <c r="I163" i="2" s="1"/>
  <c r="O162" i="2"/>
  <c r="E162" i="2"/>
  <c r="I162" i="2" s="1"/>
  <c r="O161" i="2"/>
  <c r="P161" i="2" s="1"/>
  <c r="I161" i="2"/>
  <c r="Q161" i="2" s="1"/>
  <c r="E161" i="2"/>
  <c r="O160" i="2"/>
  <c r="E160" i="2"/>
  <c r="I160" i="2" s="1"/>
  <c r="O159" i="2"/>
  <c r="E159" i="2"/>
  <c r="I159" i="2" s="1"/>
  <c r="O158" i="2"/>
  <c r="E158" i="2"/>
  <c r="I158" i="2" s="1"/>
  <c r="O157" i="2"/>
  <c r="E157" i="2"/>
  <c r="I157" i="2" s="1"/>
  <c r="O156" i="2"/>
  <c r="P156" i="2" s="1"/>
  <c r="E156" i="2"/>
  <c r="I156" i="2" s="1"/>
  <c r="O155" i="2"/>
  <c r="E155" i="2"/>
  <c r="I155" i="2" s="1"/>
  <c r="O154" i="2"/>
  <c r="E154" i="2"/>
  <c r="I154" i="2" s="1"/>
  <c r="O153" i="2"/>
  <c r="P153" i="2" s="1"/>
  <c r="I153" i="2"/>
  <c r="E153" i="2"/>
  <c r="O152" i="2"/>
  <c r="E152" i="2"/>
  <c r="I152" i="2" s="1"/>
  <c r="O148" i="2"/>
  <c r="E148" i="2"/>
  <c r="I148" i="2" s="1"/>
  <c r="O147" i="2"/>
  <c r="E147" i="2"/>
  <c r="I147" i="2" s="1"/>
  <c r="O146" i="2"/>
  <c r="E146" i="2"/>
  <c r="I146" i="2" s="1"/>
  <c r="O145" i="2"/>
  <c r="E145" i="2"/>
  <c r="I145" i="2" s="1"/>
  <c r="O144" i="2"/>
  <c r="E144" i="2"/>
  <c r="I144" i="2" s="1"/>
  <c r="O143" i="2"/>
  <c r="P143" i="2" s="1"/>
  <c r="E143" i="2"/>
  <c r="I143" i="2" s="1"/>
  <c r="O142" i="2"/>
  <c r="E142" i="2"/>
  <c r="I142" i="2" s="1"/>
  <c r="O141" i="2"/>
  <c r="P141" i="2" s="1"/>
  <c r="E141" i="2"/>
  <c r="I141" i="2" s="1"/>
  <c r="O140" i="2"/>
  <c r="P140" i="2" s="1"/>
  <c r="K140" i="2"/>
  <c r="I140" i="2"/>
  <c r="Q140" i="2" s="1"/>
  <c r="E140" i="2"/>
  <c r="O139" i="2"/>
  <c r="E139" i="2"/>
  <c r="I139" i="2" s="1"/>
  <c r="O138" i="2"/>
  <c r="P138" i="2" s="1"/>
  <c r="I138" i="2"/>
  <c r="Q138" i="2" s="1"/>
  <c r="E138" i="2"/>
  <c r="O137" i="2"/>
  <c r="E137" i="2"/>
  <c r="I137" i="2" s="1"/>
  <c r="O136" i="2"/>
  <c r="P136" i="2" s="1"/>
  <c r="I136" i="2"/>
  <c r="E136" i="2"/>
  <c r="O135" i="2"/>
  <c r="E135" i="2"/>
  <c r="I135" i="2" s="1"/>
  <c r="O134" i="2"/>
  <c r="P134" i="2" s="1"/>
  <c r="E134" i="2"/>
  <c r="I134" i="2" s="1"/>
  <c r="O133" i="2"/>
  <c r="P133" i="2" s="1"/>
  <c r="E133" i="2"/>
  <c r="I133" i="2" s="1"/>
  <c r="O132" i="2"/>
  <c r="E132" i="2"/>
  <c r="I132" i="2" s="1"/>
  <c r="O131" i="2"/>
  <c r="P131" i="2" s="1"/>
  <c r="E131" i="2"/>
  <c r="I131" i="2" s="1"/>
  <c r="O130" i="2"/>
  <c r="L130" i="2"/>
  <c r="K130" i="2"/>
  <c r="I130" i="2"/>
  <c r="Q130" i="2" s="1"/>
  <c r="E130" i="2"/>
  <c r="O129" i="2"/>
  <c r="P129" i="2" s="1"/>
  <c r="E129" i="2"/>
  <c r="I129" i="2" s="1"/>
  <c r="O128" i="2"/>
  <c r="E128" i="2"/>
  <c r="I128" i="2" s="1"/>
  <c r="O127" i="2"/>
  <c r="E127" i="2"/>
  <c r="I127" i="2" s="1"/>
  <c r="O126" i="2"/>
  <c r="E126" i="2"/>
  <c r="I126" i="2" s="1"/>
  <c r="L126" i="2" s="1"/>
  <c r="O125" i="2"/>
  <c r="E125" i="2"/>
  <c r="I125" i="2" s="1"/>
  <c r="O124" i="2"/>
  <c r="P124" i="2" s="1"/>
  <c r="I124" i="2"/>
  <c r="Q124" i="2" s="1"/>
  <c r="E124" i="2"/>
  <c r="O123" i="2"/>
  <c r="E123" i="2"/>
  <c r="I123" i="2" s="1"/>
  <c r="Q122" i="2"/>
  <c r="O122" i="2"/>
  <c r="I122" i="2"/>
  <c r="P122" i="2" s="1"/>
  <c r="E122" i="2"/>
  <c r="O121" i="2"/>
  <c r="E121" i="2"/>
  <c r="I121" i="2" s="1"/>
  <c r="O120" i="2"/>
  <c r="P120" i="2" s="1"/>
  <c r="I120" i="2"/>
  <c r="E120" i="2"/>
  <c r="O119" i="2"/>
  <c r="E119" i="2"/>
  <c r="I119" i="2" s="1"/>
  <c r="O118" i="2"/>
  <c r="E118" i="2"/>
  <c r="I118" i="2" s="1"/>
  <c r="O117" i="2"/>
  <c r="P117" i="2" s="1"/>
  <c r="E117" i="2"/>
  <c r="I117" i="2" s="1"/>
  <c r="O116" i="2"/>
  <c r="E116" i="2"/>
  <c r="I116" i="2" s="1"/>
  <c r="O115" i="2"/>
  <c r="P115" i="2" s="1"/>
  <c r="E115" i="2"/>
  <c r="I115" i="2" s="1"/>
  <c r="O114" i="2"/>
  <c r="E114" i="2"/>
  <c r="I114" i="2" s="1"/>
  <c r="O113" i="2"/>
  <c r="P113" i="2" s="1"/>
  <c r="E113" i="2"/>
  <c r="I113" i="2" s="1"/>
  <c r="O112" i="2"/>
  <c r="E112" i="2"/>
  <c r="I112" i="2" s="1"/>
  <c r="O111" i="2"/>
  <c r="E111" i="2"/>
  <c r="I111" i="2" s="1"/>
  <c r="O110" i="2"/>
  <c r="L110" i="2"/>
  <c r="E110" i="2"/>
  <c r="I110" i="2" s="1"/>
  <c r="O109" i="2"/>
  <c r="E109" i="2"/>
  <c r="I109" i="2" s="1"/>
  <c r="O108" i="2"/>
  <c r="P108" i="2" s="1"/>
  <c r="I108" i="2"/>
  <c r="Q108" i="2" s="1"/>
  <c r="E108" i="2"/>
  <c r="O107" i="2"/>
  <c r="E107" i="2"/>
  <c r="I107" i="2" s="1"/>
  <c r="Q106" i="2"/>
  <c r="O106" i="2"/>
  <c r="I106" i="2"/>
  <c r="P106" i="2" s="1"/>
  <c r="E106" i="2"/>
  <c r="O105" i="2"/>
  <c r="E105" i="2"/>
  <c r="I105" i="2" s="1"/>
  <c r="O104" i="2"/>
  <c r="I104" i="2"/>
  <c r="E104" i="2"/>
  <c r="O103" i="2"/>
  <c r="E103" i="2"/>
  <c r="I103" i="2" s="1"/>
  <c r="O102" i="2"/>
  <c r="E102" i="2"/>
  <c r="I102" i="2" s="1"/>
  <c r="O101" i="2"/>
  <c r="P101" i="2" s="1"/>
  <c r="I101" i="2"/>
  <c r="E101" i="2"/>
  <c r="O97" i="2"/>
  <c r="E97" i="2"/>
  <c r="I97" i="2" s="1"/>
  <c r="O96" i="2"/>
  <c r="E96" i="2"/>
  <c r="I96" i="2" s="1"/>
  <c r="O95" i="2"/>
  <c r="P95" i="2" s="1"/>
  <c r="I95" i="2"/>
  <c r="E95" i="2"/>
  <c r="O94" i="2"/>
  <c r="I94" i="2"/>
  <c r="E94" i="2"/>
  <c r="O93" i="2"/>
  <c r="E93" i="2"/>
  <c r="I93" i="2" s="1"/>
  <c r="O92" i="2"/>
  <c r="E92" i="2"/>
  <c r="I92" i="2" s="1"/>
  <c r="Q91" i="2"/>
  <c r="O91" i="2"/>
  <c r="I91" i="2"/>
  <c r="P91" i="2" s="1"/>
  <c r="E91" i="2"/>
  <c r="O90" i="2"/>
  <c r="I90" i="2"/>
  <c r="E90" i="2"/>
  <c r="P89" i="2"/>
  <c r="O89" i="2"/>
  <c r="Q89" i="2" s="1"/>
  <c r="L89" i="2"/>
  <c r="K89" i="2"/>
  <c r="M89" i="2" s="1"/>
  <c r="I89" i="2"/>
  <c r="E89" i="2"/>
  <c r="O88" i="2"/>
  <c r="E88" i="2"/>
  <c r="I88" i="2" s="1"/>
  <c r="O87" i="2"/>
  <c r="P87" i="2" s="1"/>
  <c r="I87" i="2"/>
  <c r="Q87" i="2" s="1"/>
  <c r="E87" i="2"/>
  <c r="O86" i="2"/>
  <c r="E86" i="2"/>
  <c r="I86" i="2" s="1"/>
  <c r="O85" i="2"/>
  <c r="E85" i="2"/>
  <c r="I85" i="2" s="1"/>
  <c r="O84" i="2"/>
  <c r="E84" i="2"/>
  <c r="I84" i="2" s="1"/>
  <c r="O83" i="2"/>
  <c r="L83" i="2"/>
  <c r="E83" i="2"/>
  <c r="I83" i="2" s="1"/>
  <c r="O82" i="2"/>
  <c r="E82" i="2"/>
  <c r="I82" i="2" s="1"/>
  <c r="O81" i="2"/>
  <c r="P81" i="2" s="1"/>
  <c r="K81" i="2"/>
  <c r="I81" i="2"/>
  <c r="Q81" i="2" s="1"/>
  <c r="E81" i="2"/>
  <c r="O80" i="2"/>
  <c r="I80" i="2"/>
  <c r="E80" i="2"/>
  <c r="O79" i="2"/>
  <c r="E79" i="2"/>
  <c r="I79" i="2" s="1"/>
  <c r="O78" i="2"/>
  <c r="E78" i="2"/>
  <c r="I78" i="2" s="1"/>
  <c r="O77" i="2"/>
  <c r="P77" i="2" s="1"/>
  <c r="E77" i="2"/>
  <c r="I77" i="2" s="1"/>
  <c r="O76" i="2"/>
  <c r="I76" i="2"/>
  <c r="E76" i="2"/>
  <c r="O75" i="2"/>
  <c r="E75" i="2"/>
  <c r="I75" i="2" s="1"/>
  <c r="O74" i="2"/>
  <c r="E74" i="2"/>
  <c r="I74" i="2" s="1"/>
  <c r="P73" i="2"/>
  <c r="O73" i="2"/>
  <c r="I73" i="2"/>
  <c r="Q73" i="2" s="1"/>
  <c r="E73" i="2"/>
  <c r="O72" i="2"/>
  <c r="I72" i="2"/>
  <c r="E72" i="2"/>
  <c r="O71" i="2"/>
  <c r="I71" i="2"/>
  <c r="E71" i="2"/>
  <c r="O70" i="2"/>
  <c r="E70" i="2"/>
  <c r="I70" i="2" s="1"/>
  <c r="O69" i="2"/>
  <c r="E69" i="2"/>
  <c r="I69" i="2" s="1"/>
  <c r="O68" i="2"/>
  <c r="E68" i="2"/>
  <c r="I68" i="2" s="1"/>
  <c r="O67" i="2"/>
  <c r="P67" i="2" s="1"/>
  <c r="E67" i="2"/>
  <c r="I67" i="2" s="1"/>
  <c r="O66" i="2"/>
  <c r="P66" i="2" s="1"/>
  <c r="I66" i="2"/>
  <c r="E66" i="2"/>
  <c r="P65" i="2"/>
  <c r="O65" i="2"/>
  <c r="E65" i="2"/>
  <c r="I65" i="2" s="1"/>
  <c r="O64" i="2"/>
  <c r="I64" i="2"/>
  <c r="E64" i="2"/>
  <c r="O63" i="2"/>
  <c r="E63" i="2"/>
  <c r="I63" i="2" s="1"/>
  <c r="O62" i="2"/>
  <c r="E62" i="2"/>
  <c r="I62" i="2" s="1"/>
  <c r="O61" i="2"/>
  <c r="P61" i="2" s="1"/>
  <c r="K61" i="2"/>
  <c r="I61" i="2"/>
  <c r="Q61" i="2" s="1"/>
  <c r="E61" i="2"/>
  <c r="O60" i="2"/>
  <c r="E60" i="2"/>
  <c r="I60" i="2" s="1"/>
  <c r="P59" i="2"/>
  <c r="O59" i="2"/>
  <c r="I59" i="2"/>
  <c r="Q59" i="2" s="1"/>
  <c r="E59" i="2"/>
  <c r="O58" i="2"/>
  <c r="L58" i="2"/>
  <c r="I58" i="2"/>
  <c r="E58" i="2"/>
  <c r="O57" i="2"/>
  <c r="E57" i="2"/>
  <c r="I57" i="2" s="1"/>
  <c r="O56" i="2"/>
  <c r="I56" i="2"/>
  <c r="E56" i="2"/>
  <c r="O55" i="2"/>
  <c r="K55" i="2"/>
  <c r="E55" i="2"/>
  <c r="I55" i="2" s="1"/>
  <c r="O54" i="2"/>
  <c r="E54" i="2"/>
  <c r="I54" i="2" s="1"/>
  <c r="O50" i="2"/>
  <c r="P50" i="2" s="1"/>
  <c r="K50" i="2"/>
  <c r="I50" i="2"/>
  <c r="Q50" i="2" s="1"/>
  <c r="E50" i="2"/>
  <c r="O49" i="2"/>
  <c r="E49" i="2"/>
  <c r="I49" i="2" s="1"/>
  <c r="P48" i="2"/>
  <c r="O48" i="2"/>
  <c r="I48" i="2"/>
  <c r="Q48" i="2" s="1"/>
  <c r="E48" i="2"/>
  <c r="O47" i="2"/>
  <c r="L47" i="2"/>
  <c r="I47" i="2"/>
  <c r="E47" i="2"/>
  <c r="O46" i="2"/>
  <c r="E46" i="2"/>
  <c r="I46" i="2" s="1"/>
  <c r="O45" i="2"/>
  <c r="K45" i="2"/>
  <c r="E45" i="2"/>
  <c r="I45" i="2" s="1"/>
  <c r="O44" i="2"/>
  <c r="L44" i="2"/>
  <c r="E44" i="2"/>
  <c r="I44" i="2" s="1"/>
  <c r="O43" i="2"/>
  <c r="K43" i="2"/>
  <c r="E43" i="2"/>
  <c r="I43" i="2" s="1"/>
  <c r="O42" i="2"/>
  <c r="E42" i="2"/>
  <c r="I42" i="2" s="1"/>
  <c r="O41" i="2"/>
  <c r="I41" i="2"/>
  <c r="E41" i="2"/>
  <c r="O40" i="2"/>
  <c r="P40" i="2" s="1"/>
  <c r="K40" i="2"/>
  <c r="I40" i="2"/>
  <c r="Q40" i="2" s="1"/>
  <c r="E40" i="2"/>
  <c r="O39" i="2"/>
  <c r="P39" i="2" s="1"/>
  <c r="L39" i="2"/>
  <c r="K39" i="2"/>
  <c r="I39" i="2"/>
  <c r="E39" i="2"/>
  <c r="P38" i="2"/>
  <c r="O38" i="2"/>
  <c r="K38" i="2"/>
  <c r="I38" i="2"/>
  <c r="Q38" i="2" s="1"/>
  <c r="E38" i="2"/>
  <c r="O37" i="2"/>
  <c r="L37" i="2"/>
  <c r="K37" i="2"/>
  <c r="I37" i="2"/>
  <c r="E37" i="2"/>
  <c r="Q36" i="2"/>
  <c r="O36" i="2"/>
  <c r="L36" i="2"/>
  <c r="I36" i="2"/>
  <c r="P36" i="2" s="1"/>
  <c r="E36" i="2"/>
  <c r="O35" i="2"/>
  <c r="K35" i="2"/>
  <c r="E35" i="2"/>
  <c r="I35" i="2" s="1"/>
  <c r="O34" i="2"/>
  <c r="P34" i="2" s="1"/>
  <c r="E34" i="2"/>
  <c r="I34" i="2" s="1"/>
  <c r="O33" i="2"/>
  <c r="E33" i="2"/>
  <c r="I33" i="2" s="1"/>
  <c r="O32" i="2"/>
  <c r="I32" i="2"/>
  <c r="E32" i="2"/>
  <c r="O31" i="2"/>
  <c r="L31" i="2"/>
  <c r="I31" i="2"/>
  <c r="Q31" i="2" s="1"/>
  <c r="E31" i="2"/>
  <c r="O30" i="2"/>
  <c r="K30" i="2"/>
  <c r="E30" i="2"/>
  <c r="I30" i="2" s="1"/>
  <c r="O29" i="2"/>
  <c r="P29" i="2" s="1"/>
  <c r="K29" i="2"/>
  <c r="I29" i="2"/>
  <c r="E29" i="2"/>
  <c r="O28" i="2"/>
  <c r="P28" i="2" s="1"/>
  <c r="I28" i="2"/>
  <c r="Q28" i="2" s="1"/>
  <c r="E28" i="2"/>
  <c r="O27" i="2"/>
  <c r="K27" i="2"/>
  <c r="E27" i="2"/>
  <c r="I27" i="2" s="1"/>
  <c r="O26" i="2"/>
  <c r="E26" i="2"/>
  <c r="I26" i="2" s="1"/>
  <c r="O25" i="2"/>
  <c r="K25" i="2"/>
  <c r="I25" i="2"/>
  <c r="E25" i="2"/>
  <c r="O24" i="2"/>
  <c r="P24" i="2" s="1"/>
  <c r="K24" i="2"/>
  <c r="E24" i="2"/>
  <c r="I24" i="2" s="1"/>
  <c r="O23" i="2"/>
  <c r="K23" i="2"/>
  <c r="E23" i="2"/>
  <c r="I23" i="2" s="1"/>
  <c r="Q22" i="2"/>
  <c r="O22" i="2"/>
  <c r="L22" i="2"/>
  <c r="I22" i="2"/>
  <c r="P22" i="2" s="1"/>
  <c r="E22" i="2"/>
  <c r="O21" i="2"/>
  <c r="K21" i="2"/>
  <c r="I21" i="2"/>
  <c r="Q21" i="2" s="1"/>
  <c r="E21" i="2"/>
  <c r="O20" i="2"/>
  <c r="K20" i="2"/>
  <c r="I20" i="2"/>
  <c r="E20" i="2"/>
  <c r="O19" i="2"/>
  <c r="K19" i="2"/>
  <c r="E19" i="2"/>
  <c r="I19" i="2" s="1"/>
  <c r="O18" i="2"/>
  <c r="K18" i="2"/>
  <c r="E18" i="2"/>
  <c r="I18" i="2" s="1"/>
  <c r="O17" i="2"/>
  <c r="E17" i="2"/>
  <c r="I17" i="2" s="1"/>
  <c r="O16" i="2"/>
  <c r="K16" i="2"/>
  <c r="I16" i="2"/>
  <c r="E16" i="2"/>
  <c r="O15" i="2"/>
  <c r="L15" i="2"/>
  <c r="K15" i="2"/>
  <c r="I15" i="2"/>
  <c r="Q15" i="2" s="1"/>
  <c r="E15" i="2"/>
  <c r="O14" i="2"/>
  <c r="E14" i="2"/>
  <c r="I14" i="2" s="1"/>
  <c r="O13" i="2"/>
  <c r="P13" i="2" s="1"/>
  <c r="I13" i="2"/>
  <c r="E13" i="2"/>
  <c r="O12" i="2"/>
  <c r="P12" i="2" s="1"/>
  <c r="I12" i="2"/>
  <c r="Q12" i="2" s="1"/>
  <c r="E12" i="2"/>
  <c r="O11" i="2"/>
  <c r="E11" i="2"/>
  <c r="I11" i="2" s="1"/>
  <c r="L11" i="2" s="1"/>
  <c r="O10" i="2"/>
  <c r="E10" i="2"/>
  <c r="I10" i="2" s="1"/>
  <c r="O9" i="2"/>
  <c r="I9" i="2"/>
  <c r="E9" i="2"/>
  <c r="O8" i="2"/>
  <c r="E8" i="2"/>
  <c r="I8" i="2" s="1"/>
  <c r="O7" i="2"/>
  <c r="K7" i="2"/>
  <c r="E7" i="2"/>
  <c r="I7" i="2" s="1"/>
  <c r="Q6" i="2"/>
  <c r="O6" i="2"/>
  <c r="L6" i="2"/>
  <c r="K6" i="2"/>
  <c r="I6" i="2"/>
  <c r="P6" i="2" s="1"/>
  <c r="E6" i="2"/>
  <c r="O5" i="2"/>
  <c r="I5" i="2"/>
  <c r="Q5" i="2" s="1"/>
  <c r="E5" i="2"/>
  <c r="O4" i="2"/>
  <c r="I4" i="2"/>
  <c r="E4" i="2"/>
  <c r="O3" i="2"/>
  <c r="P3" i="2" s="1"/>
  <c r="I3" i="2"/>
  <c r="Q3" i="2" s="1"/>
  <c r="E3" i="2"/>
  <c r="O289" i="1"/>
  <c r="H289" i="1"/>
  <c r="P288" i="1"/>
  <c r="O288" i="1"/>
  <c r="H288" i="1"/>
  <c r="J288" i="1" s="1"/>
  <c r="O287" i="1"/>
  <c r="H287" i="1"/>
  <c r="P286" i="1"/>
  <c r="O286" i="1"/>
  <c r="K286" i="1"/>
  <c r="H286" i="1"/>
  <c r="O285" i="1"/>
  <c r="Q285" i="1" s="1"/>
  <c r="H285" i="1"/>
  <c r="O284" i="1"/>
  <c r="H284" i="1"/>
  <c r="J284" i="1" s="1"/>
  <c r="O283" i="1"/>
  <c r="H283" i="1"/>
  <c r="K283" i="1" s="1"/>
  <c r="O282" i="1"/>
  <c r="H282" i="1"/>
  <c r="K282" i="1" s="1"/>
  <c r="O281" i="1"/>
  <c r="H281" i="1"/>
  <c r="O280" i="1"/>
  <c r="H280" i="1"/>
  <c r="O279" i="1"/>
  <c r="P279" i="1" s="1"/>
  <c r="H279" i="1"/>
  <c r="O278" i="1"/>
  <c r="K278" i="1"/>
  <c r="L278" i="1" s="1"/>
  <c r="J278" i="1"/>
  <c r="H278" i="1"/>
  <c r="O277" i="1"/>
  <c r="K277" i="1"/>
  <c r="L277" i="1" s="1"/>
  <c r="H277" i="1"/>
  <c r="J277" i="1" s="1"/>
  <c r="O276" i="1"/>
  <c r="Q276" i="1" s="1"/>
  <c r="H276" i="1"/>
  <c r="K276" i="1" s="1"/>
  <c r="O275" i="1"/>
  <c r="H275" i="1"/>
  <c r="K275" i="1" s="1"/>
  <c r="O274" i="1"/>
  <c r="P274" i="1" s="1"/>
  <c r="H274" i="1"/>
  <c r="K274" i="1" s="1"/>
  <c r="O273" i="1"/>
  <c r="H273" i="1"/>
  <c r="O272" i="1"/>
  <c r="H272" i="1"/>
  <c r="K272" i="1" s="1"/>
  <c r="O271" i="1"/>
  <c r="Q271" i="1" s="1"/>
  <c r="H271" i="1"/>
  <c r="O270" i="1"/>
  <c r="P270" i="1" s="1"/>
  <c r="J270" i="1"/>
  <c r="H270" i="1"/>
  <c r="O269" i="1"/>
  <c r="P269" i="1" s="1"/>
  <c r="H269" i="1"/>
  <c r="O268" i="1"/>
  <c r="H268" i="1"/>
  <c r="O267" i="1"/>
  <c r="H267" i="1"/>
  <c r="O266" i="1"/>
  <c r="P266" i="1" s="1"/>
  <c r="M266" i="1"/>
  <c r="K266" i="1"/>
  <c r="H266" i="1"/>
  <c r="O265" i="1"/>
  <c r="P265" i="1" s="1"/>
  <c r="M265" i="1"/>
  <c r="K265" i="1"/>
  <c r="J265" i="1"/>
  <c r="L265" i="1" s="1"/>
  <c r="H265" i="1"/>
  <c r="O264" i="1"/>
  <c r="P264" i="1" s="1"/>
  <c r="H264" i="1"/>
  <c r="J264" i="1" s="1"/>
  <c r="O263" i="1"/>
  <c r="P263" i="1" s="1"/>
  <c r="H263" i="1"/>
  <c r="O262" i="1"/>
  <c r="H262" i="1"/>
  <c r="O261" i="1"/>
  <c r="H261" i="1"/>
  <c r="O260" i="1"/>
  <c r="P260" i="1" s="1"/>
  <c r="H260" i="1"/>
  <c r="K260" i="1" s="1"/>
  <c r="O259" i="1"/>
  <c r="P259" i="1" s="1"/>
  <c r="H259" i="1"/>
  <c r="J259" i="1" s="1"/>
  <c r="O258" i="1"/>
  <c r="Q258" i="1" s="1"/>
  <c r="H258" i="1"/>
  <c r="O257" i="1"/>
  <c r="Q257" i="1" s="1"/>
  <c r="L257" i="1"/>
  <c r="K257" i="1"/>
  <c r="H257" i="1"/>
  <c r="J257" i="1" s="1"/>
  <c r="O256" i="1"/>
  <c r="Q256" i="1" s="1"/>
  <c r="H256" i="1"/>
  <c r="J256" i="1" s="1"/>
  <c r="O255" i="1"/>
  <c r="K255" i="1"/>
  <c r="H255" i="1"/>
  <c r="J255" i="1" s="1"/>
  <c r="L255" i="1" s="1"/>
  <c r="O254" i="1"/>
  <c r="Q254" i="1" s="1"/>
  <c r="H254" i="1"/>
  <c r="K254" i="1" s="1"/>
  <c r="O253" i="1"/>
  <c r="Q253" i="1" s="1"/>
  <c r="L253" i="1"/>
  <c r="K253" i="1"/>
  <c r="H253" i="1"/>
  <c r="J253" i="1" s="1"/>
  <c r="O252" i="1"/>
  <c r="Q252" i="1" s="1"/>
  <c r="H252" i="1"/>
  <c r="P251" i="1" s="1"/>
  <c r="Q251" i="1"/>
  <c r="O251" i="1"/>
  <c r="H251" i="1"/>
  <c r="Q250" i="1" s="1"/>
  <c r="O250" i="1"/>
  <c r="H250" i="1"/>
  <c r="J250" i="1" s="1"/>
  <c r="O249" i="1"/>
  <c r="H249" i="1"/>
  <c r="K249" i="1" s="1"/>
  <c r="Q248" i="1"/>
  <c r="P248" i="1"/>
  <c r="O248" i="1"/>
  <c r="H248" i="1"/>
  <c r="K248" i="1" s="1"/>
  <c r="O247" i="1"/>
  <c r="P247" i="1" s="1"/>
  <c r="J247" i="1"/>
  <c r="H247" i="1"/>
  <c r="O246" i="1"/>
  <c r="H246" i="1"/>
  <c r="O245" i="1"/>
  <c r="H245" i="1"/>
  <c r="O244" i="1"/>
  <c r="H244" i="1"/>
  <c r="O243" i="1"/>
  <c r="P243" i="1" s="1"/>
  <c r="J243" i="1"/>
  <c r="H243" i="1"/>
  <c r="O242" i="1"/>
  <c r="Q242" i="1" s="1"/>
  <c r="H242" i="1"/>
  <c r="O241" i="1"/>
  <c r="Q241" i="1" s="1"/>
  <c r="H241" i="1"/>
  <c r="K241" i="1" s="1"/>
  <c r="O240" i="1"/>
  <c r="H240" i="1"/>
  <c r="J240" i="1" s="1"/>
  <c r="O239" i="1"/>
  <c r="P239" i="1" s="1"/>
  <c r="H239" i="1"/>
  <c r="O238" i="1"/>
  <c r="H238" i="1"/>
  <c r="K238" i="1" s="1"/>
  <c r="O237" i="1"/>
  <c r="H237" i="1"/>
  <c r="O236" i="1"/>
  <c r="J236" i="1"/>
  <c r="H236" i="1"/>
  <c r="O235" i="1"/>
  <c r="H235" i="1"/>
  <c r="O234" i="1"/>
  <c r="P234" i="1" s="1"/>
  <c r="H234" i="1"/>
  <c r="O233" i="1"/>
  <c r="J233" i="1"/>
  <c r="H233" i="1"/>
  <c r="K233" i="1" s="1"/>
  <c r="O232" i="1"/>
  <c r="Q232" i="1" s="1"/>
  <c r="K232" i="1"/>
  <c r="H232" i="1"/>
  <c r="J232" i="1" s="1"/>
  <c r="P231" i="1"/>
  <c r="O231" i="1"/>
  <c r="J231" i="1"/>
  <c r="H231" i="1"/>
  <c r="K231" i="1" s="1"/>
  <c r="O230" i="1"/>
  <c r="H230" i="1"/>
  <c r="J230" i="1" s="1"/>
  <c r="O229" i="1"/>
  <c r="H229" i="1"/>
  <c r="Q228" i="1"/>
  <c r="O228" i="1"/>
  <c r="H228" i="1"/>
  <c r="J228" i="1" s="1"/>
  <c r="O227" i="1"/>
  <c r="K227" i="1"/>
  <c r="J227" i="1"/>
  <c r="H227" i="1"/>
  <c r="O226" i="1"/>
  <c r="H226" i="1"/>
  <c r="J226" i="1" s="1"/>
  <c r="O225" i="1"/>
  <c r="P225" i="1" s="1"/>
  <c r="H225" i="1"/>
  <c r="O224" i="1"/>
  <c r="H224" i="1"/>
  <c r="Q223" i="1" s="1"/>
  <c r="P223" i="1"/>
  <c r="O223" i="1"/>
  <c r="H223" i="1"/>
  <c r="O222" i="1"/>
  <c r="H222" i="1"/>
  <c r="Q221" i="1" s="1"/>
  <c r="O221" i="1"/>
  <c r="K221" i="1"/>
  <c r="H221" i="1"/>
  <c r="J221" i="1" s="1"/>
  <c r="O220" i="1"/>
  <c r="P220" i="1" s="1"/>
  <c r="H220" i="1"/>
  <c r="J220" i="1" s="1"/>
  <c r="O219" i="1"/>
  <c r="H219" i="1"/>
  <c r="O218" i="1"/>
  <c r="H218" i="1"/>
  <c r="O217" i="1"/>
  <c r="Q217" i="1" s="1"/>
  <c r="H217" i="1"/>
  <c r="P216" i="1"/>
  <c r="O216" i="1"/>
  <c r="K216" i="1"/>
  <c r="H216" i="1"/>
  <c r="J216" i="1" s="1"/>
  <c r="O215" i="1"/>
  <c r="Q215" i="1" s="1"/>
  <c r="H215" i="1"/>
  <c r="O214" i="1"/>
  <c r="H214" i="1"/>
  <c r="J214" i="1" s="1"/>
  <c r="O213" i="1"/>
  <c r="L213" i="1"/>
  <c r="K213" i="1"/>
  <c r="H213" i="1"/>
  <c r="J213" i="1" s="1"/>
  <c r="O212" i="1"/>
  <c r="Q212" i="1" s="1"/>
  <c r="H212" i="1"/>
  <c r="J212" i="1" s="1"/>
  <c r="O211" i="1"/>
  <c r="P211" i="1" s="1"/>
  <c r="H211" i="1"/>
  <c r="O210" i="1"/>
  <c r="P210" i="1" s="1"/>
  <c r="H210" i="1"/>
  <c r="Q209" i="1" s="1"/>
  <c r="O209" i="1"/>
  <c r="J209" i="1"/>
  <c r="H209" i="1"/>
  <c r="K209" i="1" s="1"/>
  <c r="O208" i="1"/>
  <c r="P208" i="1" s="1"/>
  <c r="H208" i="1"/>
  <c r="O207" i="1"/>
  <c r="H207" i="1"/>
  <c r="Q206" i="1" s="1"/>
  <c r="O206" i="1"/>
  <c r="H206" i="1"/>
  <c r="O205" i="1"/>
  <c r="Q205" i="1" s="1"/>
  <c r="H205" i="1"/>
  <c r="J205" i="1" s="1"/>
  <c r="O204" i="1"/>
  <c r="H204" i="1"/>
  <c r="Q203" i="1" s="1"/>
  <c r="O203" i="1"/>
  <c r="H203" i="1"/>
  <c r="O202" i="1"/>
  <c r="P202" i="1" s="1"/>
  <c r="H202" i="1"/>
  <c r="J202" i="1" s="1"/>
  <c r="O201" i="1"/>
  <c r="Q201" i="1" s="1"/>
  <c r="H201" i="1"/>
  <c r="O200" i="1"/>
  <c r="H200" i="1"/>
  <c r="K200" i="1" s="1"/>
  <c r="O199" i="1"/>
  <c r="J199" i="1"/>
  <c r="H199" i="1"/>
  <c r="Q198" i="1" s="1"/>
  <c r="O198" i="1"/>
  <c r="H198" i="1"/>
  <c r="O197" i="1"/>
  <c r="Q197" i="1" s="1"/>
  <c r="H197" i="1"/>
  <c r="K197" i="1" s="1"/>
  <c r="O196" i="1"/>
  <c r="Q196" i="1" s="1"/>
  <c r="H196" i="1"/>
  <c r="O195" i="1"/>
  <c r="H195" i="1"/>
  <c r="Q194" i="1" s="1"/>
  <c r="O194" i="1"/>
  <c r="H194" i="1"/>
  <c r="Q193" i="1" s="1"/>
  <c r="O193" i="1"/>
  <c r="H193" i="1"/>
  <c r="O192" i="1"/>
  <c r="P192" i="1" s="1"/>
  <c r="H192" i="1"/>
  <c r="M192" i="1" s="1"/>
  <c r="O191" i="1"/>
  <c r="P191" i="1" s="1"/>
  <c r="M191" i="1"/>
  <c r="K191" i="1"/>
  <c r="H191" i="1"/>
  <c r="J191" i="1" s="1"/>
  <c r="L191" i="1" s="1"/>
  <c r="O190" i="1"/>
  <c r="Q190" i="1" s="1"/>
  <c r="H190" i="1"/>
  <c r="K190" i="1" s="1"/>
  <c r="Q181" i="1"/>
  <c r="O181" i="1"/>
  <c r="D181" i="1"/>
  <c r="H181" i="1" s="1"/>
  <c r="O180" i="1"/>
  <c r="D180" i="1"/>
  <c r="H180" i="1" s="1"/>
  <c r="O179" i="1"/>
  <c r="D179" i="1"/>
  <c r="H179" i="1" s="1"/>
  <c r="O178" i="1"/>
  <c r="D178" i="1"/>
  <c r="H178" i="1" s="1"/>
  <c r="O177" i="1"/>
  <c r="Q177" i="1" s="1"/>
  <c r="D177" i="1"/>
  <c r="H177" i="1" s="1"/>
  <c r="O176" i="1"/>
  <c r="D176" i="1"/>
  <c r="H176" i="1" s="1"/>
  <c r="O175" i="1"/>
  <c r="Q175" i="1" s="1"/>
  <c r="H175" i="1"/>
  <c r="D175" i="1"/>
  <c r="P174" i="1"/>
  <c r="O174" i="1"/>
  <c r="D174" i="1"/>
  <c r="H174" i="1" s="1"/>
  <c r="Q174" i="1" s="1"/>
  <c r="O173" i="1"/>
  <c r="D173" i="1"/>
  <c r="H173" i="1" s="1"/>
  <c r="O172" i="1"/>
  <c r="D172" i="1"/>
  <c r="H172" i="1" s="1"/>
  <c r="Q172" i="1" s="1"/>
  <c r="O171" i="1"/>
  <c r="D171" i="1"/>
  <c r="H171" i="1" s="1"/>
  <c r="O170" i="1"/>
  <c r="H170" i="1"/>
  <c r="Q170" i="1" s="1"/>
  <c r="D170" i="1"/>
  <c r="O169" i="1"/>
  <c r="H169" i="1"/>
  <c r="D169" i="1"/>
  <c r="O168" i="1"/>
  <c r="D168" i="1"/>
  <c r="H168" i="1" s="1"/>
  <c r="O167" i="1"/>
  <c r="D167" i="1"/>
  <c r="H167" i="1" s="1"/>
  <c r="Q167" i="1" s="1"/>
  <c r="O166" i="1"/>
  <c r="D166" i="1"/>
  <c r="H166" i="1" s="1"/>
  <c r="O165" i="1"/>
  <c r="D165" i="1"/>
  <c r="H165" i="1" s="1"/>
  <c r="O164" i="1"/>
  <c r="D164" i="1"/>
  <c r="H164" i="1" s="1"/>
  <c r="J164" i="1" s="1"/>
  <c r="O163" i="1"/>
  <c r="P163" i="1" s="1"/>
  <c r="D163" i="1"/>
  <c r="H163" i="1" s="1"/>
  <c r="O162" i="1"/>
  <c r="H162" i="1"/>
  <c r="J162" i="1" s="1"/>
  <c r="D162" i="1"/>
  <c r="O161" i="1"/>
  <c r="D161" i="1"/>
  <c r="H161" i="1" s="1"/>
  <c r="O160" i="1"/>
  <c r="D160" i="1"/>
  <c r="H160" i="1" s="1"/>
  <c r="O159" i="1"/>
  <c r="D159" i="1"/>
  <c r="H159" i="1" s="1"/>
  <c r="O158" i="1"/>
  <c r="P158" i="1" s="1"/>
  <c r="D158" i="1"/>
  <c r="H158" i="1" s="1"/>
  <c r="O157" i="1"/>
  <c r="D157" i="1"/>
  <c r="H157" i="1" s="1"/>
  <c r="O156" i="1"/>
  <c r="P156" i="1" s="1"/>
  <c r="J156" i="1"/>
  <c r="H156" i="1"/>
  <c r="K156" i="1" s="1"/>
  <c r="D156" i="1"/>
  <c r="O155" i="1"/>
  <c r="D155" i="1"/>
  <c r="H155" i="1" s="1"/>
  <c r="O154" i="1"/>
  <c r="D154" i="1"/>
  <c r="H154" i="1" s="1"/>
  <c r="K154" i="1" s="1"/>
  <c r="O153" i="1"/>
  <c r="D153" i="1"/>
  <c r="H153" i="1" s="1"/>
  <c r="O152" i="1"/>
  <c r="D152" i="1"/>
  <c r="H152" i="1" s="1"/>
  <c r="Q152" i="1" s="1"/>
  <c r="O151" i="1"/>
  <c r="D151" i="1"/>
  <c r="H151" i="1" s="1"/>
  <c r="O147" i="1"/>
  <c r="D147" i="1"/>
  <c r="H147" i="1" s="1"/>
  <c r="Q147" i="1" s="1"/>
  <c r="O146" i="1"/>
  <c r="D146" i="1"/>
  <c r="H146" i="1" s="1"/>
  <c r="O145" i="1"/>
  <c r="D145" i="1"/>
  <c r="H145" i="1" s="1"/>
  <c r="O144" i="1"/>
  <c r="D144" i="1"/>
  <c r="H144" i="1" s="1"/>
  <c r="Q144" i="1" s="1"/>
  <c r="O143" i="1"/>
  <c r="D143" i="1"/>
  <c r="H143" i="1" s="1"/>
  <c r="K143" i="1" s="1"/>
  <c r="O142" i="1"/>
  <c r="D142" i="1"/>
  <c r="H142" i="1" s="1"/>
  <c r="O141" i="1"/>
  <c r="P141" i="1" s="1"/>
  <c r="K141" i="1"/>
  <c r="L141" i="1" s="1"/>
  <c r="D141" i="1"/>
  <c r="H141" i="1" s="1"/>
  <c r="J141" i="1" s="1"/>
  <c r="O140" i="1"/>
  <c r="D140" i="1"/>
  <c r="H140" i="1" s="1"/>
  <c r="O139" i="1"/>
  <c r="D139" i="1"/>
  <c r="H139" i="1" s="1"/>
  <c r="K139" i="1" s="1"/>
  <c r="O138" i="1"/>
  <c r="H138" i="1"/>
  <c r="D138" i="1"/>
  <c r="O137" i="1"/>
  <c r="D137" i="1"/>
  <c r="H137" i="1" s="1"/>
  <c r="O136" i="1"/>
  <c r="D136" i="1"/>
  <c r="H136" i="1" s="1"/>
  <c r="K136" i="1" s="1"/>
  <c r="O135" i="1"/>
  <c r="D135" i="1"/>
  <c r="H135" i="1" s="1"/>
  <c r="Q135" i="1" s="1"/>
  <c r="O134" i="1"/>
  <c r="D134" i="1"/>
  <c r="H134" i="1" s="1"/>
  <c r="O133" i="1"/>
  <c r="D133" i="1"/>
  <c r="H133" i="1" s="1"/>
  <c r="Q133" i="1" s="1"/>
  <c r="O132" i="1"/>
  <c r="H132" i="1"/>
  <c r="D132" i="1"/>
  <c r="O131" i="1"/>
  <c r="D131" i="1"/>
  <c r="H131" i="1" s="1"/>
  <c r="J131" i="1" s="1"/>
  <c r="O130" i="1"/>
  <c r="D130" i="1"/>
  <c r="H130" i="1" s="1"/>
  <c r="Q130" i="1" s="1"/>
  <c r="O129" i="1"/>
  <c r="D129" i="1"/>
  <c r="H129" i="1" s="1"/>
  <c r="J129" i="1" s="1"/>
  <c r="O128" i="1"/>
  <c r="P128" i="1" s="1"/>
  <c r="D128" i="1"/>
  <c r="H128" i="1" s="1"/>
  <c r="O127" i="1"/>
  <c r="D127" i="1"/>
  <c r="H127" i="1" s="1"/>
  <c r="Q127" i="1" s="1"/>
  <c r="O126" i="1"/>
  <c r="D126" i="1"/>
  <c r="H126" i="1" s="1"/>
  <c r="P125" i="1"/>
  <c r="O125" i="1"/>
  <c r="K125" i="1"/>
  <c r="D125" i="1"/>
  <c r="H125" i="1" s="1"/>
  <c r="Q125" i="1" s="1"/>
  <c r="O124" i="1"/>
  <c r="K124" i="1"/>
  <c r="D124" i="1"/>
  <c r="H124" i="1" s="1"/>
  <c r="J124" i="1" s="1"/>
  <c r="O123" i="1"/>
  <c r="D123" i="1"/>
  <c r="H123" i="1" s="1"/>
  <c r="Q123" i="1" s="1"/>
  <c r="O122" i="1"/>
  <c r="K122" i="1"/>
  <c r="D122" i="1"/>
  <c r="H122" i="1" s="1"/>
  <c r="Q122" i="1" s="1"/>
  <c r="O121" i="1"/>
  <c r="D121" i="1"/>
  <c r="H121" i="1" s="1"/>
  <c r="O120" i="1"/>
  <c r="D120" i="1"/>
  <c r="H120" i="1" s="1"/>
  <c r="O119" i="1"/>
  <c r="D119" i="1"/>
  <c r="H119" i="1" s="1"/>
  <c r="Q119" i="1" s="1"/>
  <c r="O118" i="1"/>
  <c r="D118" i="1"/>
  <c r="H118" i="1" s="1"/>
  <c r="O117" i="1"/>
  <c r="D117" i="1"/>
  <c r="H117" i="1" s="1"/>
  <c r="O116" i="1"/>
  <c r="D116" i="1"/>
  <c r="H116" i="1" s="1"/>
  <c r="Q116" i="1" s="1"/>
  <c r="O115" i="1"/>
  <c r="H115" i="1"/>
  <c r="D115" i="1"/>
  <c r="O114" i="1"/>
  <c r="D114" i="1"/>
  <c r="H114" i="1" s="1"/>
  <c r="P114" i="1" s="1"/>
  <c r="O113" i="1"/>
  <c r="D113" i="1"/>
  <c r="H113" i="1" s="1"/>
  <c r="O112" i="1"/>
  <c r="D112" i="1"/>
  <c r="H112" i="1" s="1"/>
  <c r="Q112" i="1" s="1"/>
  <c r="O111" i="1"/>
  <c r="D111" i="1"/>
  <c r="H111" i="1" s="1"/>
  <c r="O110" i="1"/>
  <c r="D110" i="1"/>
  <c r="H110" i="1" s="1"/>
  <c r="O109" i="1"/>
  <c r="D109" i="1"/>
  <c r="H109" i="1" s="1"/>
  <c r="O108" i="1"/>
  <c r="P108" i="1" s="1"/>
  <c r="D108" i="1"/>
  <c r="H108" i="1" s="1"/>
  <c r="Q108" i="1" s="1"/>
  <c r="O107" i="1"/>
  <c r="D107" i="1"/>
  <c r="H107" i="1" s="1"/>
  <c r="O106" i="1"/>
  <c r="H106" i="1"/>
  <c r="Q106" i="1" s="1"/>
  <c r="D106" i="1"/>
  <c r="O105" i="1"/>
  <c r="H105" i="1"/>
  <c r="D105" i="1"/>
  <c r="O104" i="1"/>
  <c r="D104" i="1"/>
  <c r="H104" i="1" s="1"/>
  <c r="O103" i="1"/>
  <c r="D103" i="1"/>
  <c r="H103" i="1" s="1"/>
  <c r="O102" i="1"/>
  <c r="D102" i="1"/>
  <c r="H102" i="1" s="1"/>
  <c r="O101" i="1"/>
  <c r="H101" i="1"/>
  <c r="D101" i="1"/>
  <c r="O100" i="1"/>
  <c r="D100" i="1"/>
  <c r="H100" i="1" s="1"/>
  <c r="O96" i="1"/>
  <c r="D96" i="1"/>
  <c r="H96" i="1" s="1"/>
  <c r="O95" i="1"/>
  <c r="P95" i="1" s="1"/>
  <c r="D95" i="1"/>
  <c r="H95" i="1" s="1"/>
  <c r="O94" i="1"/>
  <c r="D94" i="1"/>
  <c r="H94" i="1" s="1"/>
  <c r="J94" i="1" s="1"/>
  <c r="O93" i="1"/>
  <c r="D93" i="1"/>
  <c r="H93" i="1" s="1"/>
  <c r="Q93" i="1" s="1"/>
  <c r="O92" i="1"/>
  <c r="P92" i="1" s="1"/>
  <c r="D92" i="1"/>
  <c r="H92" i="1" s="1"/>
  <c r="O91" i="1"/>
  <c r="D91" i="1"/>
  <c r="H91" i="1" s="1"/>
  <c r="K91" i="1" s="1"/>
  <c r="O90" i="1"/>
  <c r="D90" i="1"/>
  <c r="H90" i="1" s="1"/>
  <c r="O89" i="1"/>
  <c r="P89" i="1" s="1"/>
  <c r="J89" i="1"/>
  <c r="D89" i="1"/>
  <c r="H89" i="1" s="1"/>
  <c r="O88" i="1"/>
  <c r="D88" i="1"/>
  <c r="H88" i="1" s="1"/>
  <c r="J88" i="1" s="1"/>
  <c r="O87" i="1"/>
  <c r="Q87" i="1" s="1"/>
  <c r="D87" i="1"/>
  <c r="H87" i="1" s="1"/>
  <c r="O86" i="1"/>
  <c r="D86" i="1"/>
  <c r="H86" i="1" s="1"/>
  <c r="J86" i="1" s="1"/>
  <c r="O85" i="1"/>
  <c r="D85" i="1"/>
  <c r="H85" i="1" s="1"/>
  <c r="J85" i="1" s="1"/>
  <c r="O84" i="1"/>
  <c r="D84" i="1"/>
  <c r="H84" i="1" s="1"/>
  <c r="O83" i="1"/>
  <c r="D83" i="1"/>
  <c r="H83" i="1" s="1"/>
  <c r="O82" i="1"/>
  <c r="D82" i="1"/>
  <c r="H82" i="1" s="1"/>
  <c r="O81" i="1"/>
  <c r="D81" i="1"/>
  <c r="H81" i="1" s="1"/>
  <c r="P81" i="1" s="1"/>
  <c r="O80" i="1"/>
  <c r="D80" i="1"/>
  <c r="H80" i="1" s="1"/>
  <c r="O79" i="1"/>
  <c r="D79" i="1"/>
  <c r="H79" i="1" s="1"/>
  <c r="O78" i="1"/>
  <c r="D78" i="1"/>
  <c r="H78" i="1" s="1"/>
  <c r="O77" i="1"/>
  <c r="H77" i="1"/>
  <c r="J77" i="1" s="1"/>
  <c r="D77" i="1"/>
  <c r="O76" i="1"/>
  <c r="H76" i="1"/>
  <c r="K76" i="1" s="1"/>
  <c r="D76" i="1"/>
  <c r="O75" i="1"/>
  <c r="D75" i="1"/>
  <c r="H75" i="1" s="1"/>
  <c r="O74" i="1"/>
  <c r="D74" i="1"/>
  <c r="H74" i="1" s="1"/>
  <c r="O73" i="1"/>
  <c r="D73" i="1"/>
  <c r="H73" i="1" s="1"/>
  <c r="O72" i="1"/>
  <c r="H72" i="1"/>
  <c r="K72" i="1" s="1"/>
  <c r="D72" i="1"/>
  <c r="O71" i="1"/>
  <c r="D71" i="1"/>
  <c r="H71" i="1" s="1"/>
  <c r="O70" i="1"/>
  <c r="D70" i="1"/>
  <c r="H70" i="1" s="1"/>
  <c r="O69" i="1"/>
  <c r="D69" i="1"/>
  <c r="H69" i="1" s="1"/>
  <c r="O68" i="1"/>
  <c r="H68" i="1"/>
  <c r="P68" i="1" s="1"/>
  <c r="D68" i="1"/>
  <c r="O67" i="1"/>
  <c r="P67" i="1" s="1"/>
  <c r="D67" i="1"/>
  <c r="H67" i="1" s="1"/>
  <c r="O66" i="1"/>
  <c r="D66" i="1"/>
  <c r="H66" i="1" s="1"/>
  <c r="O65" i="1"/>
  <c r="P65" i="1" s="1"/>
  <c r="D65" i="1"/>
  <c r="H65" i="1" s="1"/>
  <c r="O64" i="1"/>
  <c r="D64" i="1"/>
  <c r="H64" i="1" s="1"/>
  <c r="O63" i="1"/>
  <c r="Q63" i="1" s="1"/>
  <c r="D63" i="1"/>
  <c r="H63" i="1" s="1"/>
  <c r="O62" i="1"/>
  <c r="D62" i="1"/>
  <c r="H62" i="1" s="1"/>
  <c r="O61" i="1"/>
  <c r="D61" i="1"/>
  <c r="H61" i="1" s="1"/>
  <c r="Q61" i="1" s="1"/>
  <c r="O60" i="1"/>
  <c r="D60" i="1"/>
  <c r="H60" i="1" s="1"/>
  <c r="Q60" i="1" s="1"/>
  <c r="P59" i="1"/>
  <c r="O59" i="1"/>
  <c r="D59" i="1"/>
  <c r="H59" i="1" s="1"/>
  <c r="M59" i="1" s="1"/>
  <c r="O58" i="1"/>
  <c r="D58" i="1"/>
  <c r="H58" i="1" s="1"/>
  <c r="O57" i="1"/>
  <c r="D57" i="1"/>
  <c r="H57" i="1" s="1"/>
  <c r="P57" i="1" s="1"/>
  <c r="O56" i="1"/>
  <c r="D56" i="1"/>
  <c r="H56" i="1" s="1"/>
  <c r="O55" i="1"/>
  <c r="P55" i="1" s="1"/>
  <c r="D55" i="1"/>
  <c r="H55" i="1" s="1"/>
  <c r="Q55" i="1" s="1"/>
  <c r="O54" i="1"/>
  <c r="D54" i="1"/>
  <c r="H54" i="1" s="1"/>
  <c r="O53" i="1"/>
  <c r="D53" i="1"/>
  <c r="H53" i="1" s="1"/>
  <c r="O49" i="1"/>
  <c r="D49" i="1"/>
  <c r="H49" i="1" s="1"/>
  <c r="O48" i="1"/>
  <c r="D48" i="1"/>
  <c r="H48" i="1" s="1"/>
  <c r="O47" i="1"/>
  <c r="Q47" i="1" s="1"/>
  <c r="D47" i="1"/>
  <c r="H47" i="1" s="1"/>
  <c r="M47" i="1" s="1"/>
  <c r="O46" i="1"/>
  <c r="D46" i="1"/>
  <c r="H46" i="1" s="1"/>
  <c r="O45" i="1"/>
  <c r="M45" i="1"/>
  <c r="D45" i="1"/>
  <c r="H45" i="1" s="1"/>
  <c r="O44" i="1"/>
  <c r="D44" i="1"/>
  <c r="H44" i="1" s="1"/>
  <c r="O43" i="1"/>
  <c r="D43" i="1"/>
  <c r="H43" i="1" s="1"/>
  <c r="Q43" i="1" s="1"/>
  <c r="O42" i="1"/>
  <c r="D42" i="1"/>
  <c r="H42" i="1" s="1"/>
  <c r="K42" i="1" s="1"/>
  <c r="O41" i="1"/>
  <c r="D41" i="1"/>
  <c r="H41" i="1" s="1"/>
  <c r="O40" i="1"/>
  <c r="D40" i="1"/>
  <c r="H40" i="1" s="1"/>
  <c r="O39" i="1"/>
  <c r="D39" i="1"/>
  <c r="H39" i="1" s="1"/>
  <c r="Q39" i="1" s="1"/>
  <c r="O38" i="1"/>
  <c r="H38" i="1"/>
  <c r="Q38" i="1" s="1"/>
  <c r="D38" i="1"/>
  <c r="O37" i="1"/>
  <c r="P37" i="1" s="1"/>
  <c r="D37" i="1"/>
  <c r="H37" i="1" s="1"/>
  <c r="O36" i="1"/>
  <c r="D36" i="1"/>
  <c r="H36" i="1" s="1"/>
  <c r="O35" i="1"/>
  <c r="D35" i="1"/>
  <c r="H35" i="1" s="1"/>
  <c r="Q35" i="1" s="1"/>
  <c r="O34" i="1"/>
  <c r="D34" i="1"/>
  <c r="H34" i="1" s="1"/>
  <c r="O33" i="1"/>
  <c r="D33" i="1"/>
  <c r="H33" i="1" s="1"/>
  <c r="Q33" i="1" s="1"/>
  <c r="O32" i="1"/>
  <c r="D32" i="1"/>
  <c r="H32" i="1" s="1"/>
  <c r="O31" i="1"/>
  <c r="D31" i="1"/>
  <c r="H31" i="1" s="1"/>
  <c r="Q31" i="1" s="1"/>
  <c r="O30" i="1"/>
  <c r="D30" i="1"/>
  <c r="H30" i="1" s="1"/>
  <c r="O29" i="1"/>
  <c r="D29" i="1"/>
  <c r="H29" i="1" s="1"/>
  <c r="O28" i="1"/>
  <c r="D28" i="1"/>
  <c r="H28" i="1" s="1"/>
  <c r="Q28" i="1" s="1"/>
  <c r="O27" i="1"/>
  <c r="D27" i="1"/>
  <c r="H27" i="1" s="1"/>
  <c r="O26" i="1"/>
  <c r="D26" i="1"/>
  <c r="H26" i="1" s="1"/>
  <c r="Q26" i="1" s="1"/>
  <c r="O25" i="1"/>
  <c r="P25" i="1" s="1"/>
  <c r="H25" i="1"/>
  <c r="D25" i="1"/>
  <c r="O24" i="1"/>
  <c r="D24" i="1"/>
  <c r="H24" i="1" s="1"/>
  <c r="Q24" i="1" s="1"/>
  <c r="O23" i="1"/>
  <c r="D23" i="1"/>
  <c r="H23" i="1" s="1"/>
  <c r="O22" i="1"/>
  <c r="D22" i="1"/>
  <c r="H22" i="1" s="1"/>
  <c r="O21" i="1"/>
  <c r="D21" i="1"/>
  <c r="H21" i="1" s="1"/>
  <c r="J21" i="1" s="1"/>
  <c r="O20" i="1"/>
  <c r="D20" i="1"/>
  <c r="H20" i="1" s="1"/>
  <c r="O19" i="1"/>
  <c r="D19" i="1"/>
  <c r="H19" i="1" s="1"/>
  <c r="J19" i="1" s="1"/>
  <c r="O18" i="1"/>
  <c r="D18" i="1"/>
  <c r="H18" i="1" s="1"/>
  <c r="O17" i="1"/>
  <c r="D17" i="1"/>
  <c r="H17" i="1" s="1"/>
  <c r="Q17" i="1" s="1"/>
  <c r="O16" i="1"/>
  <c r="D16" i="1"/>
  <c r="H16" i="1" s="1"/>
  <c r="O15" i="1"/>
  <c r="D15" i="1"/>
  <c r="H15" i="1" s="1"/>
  <c r="J15" i="1" s="1"/>
  <c r="O14" i="1"/>
  <c r="D14" i="1"/>
  <c r="H14" i="1" s="1"/>
  <c r="O13" i="1"/>
  <c r="D13" i="1"/>
  <c r="H13" i="1" s="1"/>
  <c r="O12" i="1"/>
  <c r="H12" i="1"/>
  <c r="P12" i="1" s="1"/>
  <c r="D12" i="1"/>
  <c r="O11" i="1"/>
  <c r="D11" i="1"/>
  <c r="H11" i="1" s="1"/>
  <c r="O10" i="1"/>
  <c r="D10" i="1"/>
  <c r="H10" i="1" s="1"/>
  <c r="O9" i="1"/>
  <c r="D9" i="1"/>
  <c r="H9" i="1" s="1"/>
  <c r="O8" i="1"/>
  <c r="Q8" i="1" s="1"/>
  <c r="M8" i="1"/>
  <c r="K8" i="1"/>
  <c r="D8" i="1"/>
  <c r="H8" i="1" s="1"/>
  <c r="J8" i="1" s="1"/>
  <c r="O7" i="1"/>
  <c r="D7" i="1"/>
  <c r="H7" i="1" s="1"/>
  <c r="O6" i="1"/>
  <c r="Q6" i="1" s="1"/>
  <c r="K6" i="1"/>
  <c r="H6" i="1"/>
  <c r="J6" i="1" s="1"/>
  <c r="D6" i="1"/>
  <c r="O5" i="1"/>
  <c r="D5" i="1"/>
  <c r="H5" i="1" s="1"/>
  <c r="O4" i="1"/>
  <c r="D4" i="1"/>
  <c r="H4" i="1" s="1"/>
  <c r="M4" i="1" s="1"/>
  <c r="O3" i="1"/>
  <c r="D3" i="1"/>
  <c r="H3" i="1" s="1"/>
  <c r="O2" i="1"/>
  <c r="D2" i="1"/>
  <c r="H2" i="1" s="1"/>
  <c r="Q43" i="2" l="1"/>
  <c r="L43" i="2"/>
  <c r="M43" i="2" s="1"/>
  <c r="P39" i="1"/>
  <c r="Q146" i="2"/>
  <c r="K146" i="2"/>
  <c r="M146" i="2" s="1"/>
  <c r="P146" i="2"/>
  <c r="L8" i="1"/>
  <c r="J71" i="1"/>
  <c r="L71" i="1" s="1"/>
  <c r="K71" i="1"/>
  <c r="Q77" i="1"/>
  <c r="P77" i="1"/>
  <c r="Q24" i="2"/>
  <c r="L24" i="2"/>
  <c r="M24" i="2" s="1"/>
  <c r="L34" i="2"/>
  <c r="K34" i="2"/>
  <c r="M34" i="2" s="1"/>
  <c r="Q34" i="2"/>
  <c r="Q55" i="2"/>
  <c r="P55" i="2"/>
  <c r="L55" i="2"/>
  <c r="M55" i="2" s="1"/>
  <c r="L65" i="2"/>
  <c r="K65" i="2"/>
  <c r="M65" i="2" s="1"/>
  <c r="Q65" i="2"/>
  <c r="Q71" i="2"/>
  <c r="P71" i="2"/>
  <c r="K110" i="2"/>
  <c r="M110" i="2" s="1"/>
  <c r="Q110" i="2"/>
  <c r="P110" i="2"/>
  <c r="Q10" i="2"/>
  <c r="L10" i="2"/>
  <c r="K10" i="2"/>
  <c r="M10" i="2" s="1"/>
  <c r="Q42" i="2"/>
  <c r="L42" i="2"/>
  <c r="K42" i="2"/>
  <c r="M42" i="2" s="1"/>
  <c r="Q60" i="2"/>
  <c r="K60" i="2"/>
  <c r="M60" i="2" s="1"/>
  <c r="Q104" i="2"/>
  <c r="L104" i="2"/>
  <c r="K104" i="2"/>
  <c r="M104" i="2" s="1"/>
  <c r="Q118" i="2"/>
  <c r="L118" i="2"/>
  <c r="K118" i="2"/>
  <c r="M118" i="2" s="1"/>
  <c r="Q144" i="2"/>
  <c r="P144" i="2"/>
  <c r="L144" i="2"/>
  <c r="K144" i="2"/>
  <c r="M144" i="2" s="1"/>
  <c r="Q155" i="2"/>
  <c r="L155" i="2"/>
  <c r="K155" i="2"/>
  <c r="M155" i="2" s="1"/>
  <c r="Q104" i="1"/>
  <c r="J104" i="1"/>
  <c r="Q214" i="1"/>
  <c r="K215" i="1"/>
  <c r="J215" i="1"/>
  <c r="L215" i="1"/>
  <c r="Q233" i="1"/>
  <c r="P233" i="1"/>
  <c r="P10" i="2"/>
  <c r="P42" i="2"/>
  <c r="L60" i="2"/>
  <c r="Q78" i="2"/>
  <c r="L78" i="2"/>
  <c r="K78" i="2"/>
  <c r="M78" i="2" s="1"/>
  <c r="Q84" i="2"/>
  <c r="L84" i="2"/>
  <c r="K84" i="2"/>
  <c r="M84" i="2" s="1"/>
  <c r="Q95" i="2"/>
  <c r="L95" i="2"/>
  <c r="K95" i="2"/>
  <c r="M95" i="2" s="1"/>
  <c r="P104" i="2"/>
  <c r="P118" i="2"/>
  <c r="Q30" i="2"/>
  <c r="P30" i="2"/>
  <c r="M30" i="2"/>
  <c r="L30" i="2"/>
  <c r="Q112" i="2"/>
  <c r="P112" i="2"/>
  <c r="M112" i="2"/>
  <c r="L112" i="2"/>
  <c r="K112" i="2"/>
  <c r="P73" i="1"/>
  <c r="P126" i="1"/>
  <c r="P16" i="2"/>
  <c r="K44" i="2"/>
  <c r="Q44" i="2"/>
  <c r="P44" i="2"/>
  <c r="M44" i="2"/>
  <c r="L57" i="2"/>
  <c r="K57" i="2"/>
  <c r="M57" i="2" s="1"/>
  <c r="Q57" i="2"/>
  <c r="Q67" i="2"/>
  <c r="L67" i="2"/>
  <c r="K67" i="2"/>
  <c r="Q86" i="2"/>
  <c r="L86" i="2"/>
  <c r="K86" i="2"/>
  <c r="M86" i="2" s="1"/>
  <c r="L97" i="2"/>
  <c r="K97" i="2"/>
  <c r="M97" i="2" s="1"/>
  <c r="Q97" i="2"/>
  <c r="Q120" i="2"/>
  <c r="L120" i="2"/>
  <c r="K120" i="2"/>
  <c r="M120" i="2" s="1"/>
  <c r="P132" i="2"/>
  <c r="L146" i="2"/>
  <c r="K201" i="1"/>
  <c r="L201" i="1" s="1"/>
  <c r="J201" i="1"/>
  <c r="P155" i="2"/>
  <c r="P163" i="2"/>
  <c r="Q139" i="2"/>
  <c r="L139" i="2"/>
  <c r="K139" i="2"/>
  <c r="M139" i="2" s="1"/>
  <c r="Q49" i="2"/>
  <c r="K49" i="2"/>
  <c r="M49" i="2" s="1"/>
  <c r="K100" i="1"/>
  <c r="J100" i="1"/>
  <c r="P26" i="2"/>
  <c r="L49" i="2"/>
  <c r="P57" i="2"/>
  <c r="Q62" i="2"/>
  <c r="K62" i="2"/>
  <c r="M62" i="2" s="1"/>
  <c r="L62" i="2"/>
  <c r="Q68" i="2"/>
  <c r="L68" i="2"/>
  <c r="K68" i="2"/>
  <c r="M68" i="2" s="1"/>
  <c r="Q74" i="2"/>
  <c r="L74" i="2"/>
  <c r="K74" i="2"/>
  <c r="M74" i="2" s="1"/>
  <c r="P97" i="2"/>
  <c r="P157" i="2"/>
  <c r="Q79" i="2"/>
  <c r="P79" i="2"/>
  <c r="L79" i="2"/>
  <c r="K79" i="2"/>
  <c r="M79" i="2" s="1"/>
  <c r="J73" i="1"/>
  <c r="Q73" i="1"/>
  <c r="K73" i="1"/>
  <c r="Q163" i="2"/>
  <c r="L163" i="2"/>
  <c r="K163" i="2"/>
  <c r="M163" i="2" s="1"/>
  <c r="Q17" i="2"/>
  <c r="L17" i="2"/>
  <c r="K17" i="2"/>
  <c r="M17" i="2" s="1"/>
  <c r="Q26" i="2"/>
  <c r="L26" i="2"/>
  <c r="K26" i="2"/>
  <c r="M26" i="2" s="1"/>
  <c r="Q80" i="2"/>
  <c r="L80" i="2"/>
  <c r="K80" i="2"/>
  <c r="M80" i="2" s="1"/>
  <c r="Q157" i="2"/>
  <c r="L157" i="2"/>
  <c r="K157" i="2"/>
  <c r="M157" i="2" s="1"/>
  <c r="Q5" i="1"/>
  <c r="P5" i="1"/>
  <c r="J75" i="1"/>
  <c r="L75" i="1" s="1"/>
  <c r="K75" i="1"/>
  <c r="Q7" i="2"/>
  <c r="L7" i="2"/>
  <c r="M7" i="2" s="1"/>
  <c r="Q18" i="2"/>
  <c r="P18" i="2"/>
  <c r="Q27" i="2"/>
  <c r="Q45" i="2"/>
  <c r="L45" i="2"/>
  <c r="M45" i="2" s="1"/>
  <c r="P74" i="2"/>
  <c r="Q114" i="2"/>
  <c r="P114" i="2"/>
  <c r="M114" i="2"/>
  <c r="L114" i="2"/>
  <c r="K114" i="2"/>
  <c r="Q134" i="2"/>
  <c r="L134" i="2"/>
  <c r="K134" i="2"/>
  <c r="Q172" i="2"/>
  <c r="L172" i="2"/>
  <c r="K172" i="2"/>
  <c r="M172" i="2" s="1"/>
  <c r="Q75" i="2"/>
  <c r="P75" i="2"/>
  <c r="L75" i="2"/>
  <c r="K75" i="2"/>
  <c r="M75" i="2" s="1"/>
  <c r="Q92" i="2"/>
  <c r="L92" i="2"/>
  <c r="K92" i="2"/>
  <c r="M92" i="2" s="1"/>
  <c r="Q128" i="2"/>
  <c r="P128" i="2"/>
  <c r="L128" i="2"/>
  <c r="K128" i="2"/>
  <c r="M128" i="2" s="1"/>
  <c r="Q148" i="2"/>
  <c r="L148" i="2"/>
  <c r="K148" i="2"/>
  <c r="M148" i="2" s="1"/>
  <c r="Q165" i="2"/>
  <c r="L165" i="2"/>
  <c r="K165" i="2"/>
  <c r="M165" i="2" s="1"/>
  <c r="Q20" i="2"/>
  <c r="P20" i="2"/>
  <c r="P85" i="2"/>
  <c r="Q63" i="2"/>
  <c r="P63" i="2"/>
  <c r="L63" i="2"/>
  <c r="Q69" i="2"/>
  <c r="L69" i="2"/>
  <c r="K69" i="2"/>
  <c r="M69" i="2" s="1"/>
  <c r="Q20" i="1"/>
  <c r="J20" i="1"/>
  <c r="Q83" i="1"/>
  <c r="J83" i="1"/>
  <c r="Q143" i="1"/>
  <c r="P143" i="1"/>
  <c r="L18" i="2"/>
  <c r="M18" i="2" s="1"/>
  <c r="L27" i="2"/>
  <c r="M27" i="2" s="1"/>
  <c r="K63" i="2"/>
  <c r="M63" i="2" s="1"/>
  <c r="P69" i="2"/>
  <c r="Q88" i="2"/>
  <c r="L88" i="2"/>
  <c r="K88" i="2"/>
  <c r="M88" i="2" s="1"/>
  <c r="P148" i="2"/>
  <c r="Q159" i="2"/>
  <c r="L159" i="2"/>
  <c r="K159" i="2"/>
  <c r="Q11" i="2"/>
  <c r="K11" i="2"/>
  <c r="M11" i="2" s="1"/>
  <c r="Q25" i="2"/>
  <c r="L25" i="2"/>
  <c r="M25" i="2" s="1"/>
  <c r="J126" i="1"/>
  <c r="L126" i="1" s="1"/>
  <c r="K126" i="1"/>
  <c r="Q126" i="1"/>
  <c r="Q85" i="2"/>
  <c r="L85" i="2"/>
  <c r="K85" i="2"/>
  <c r="M85" i="2" s="1"/>
  <c r="K126" i="2"/>
  <c r="M126" i="2" s="1"/>
  <c r="Q126" i="2"/>
  <c r="P126" i="2"/>
  <c r="L91" i="1"/>
  <c r="Q8" i="2"/>
  <c r="L8" i="2"/>
  <c r="K8" i="2"/>
  <c r="M8" i="2" s="1"/>
  <c r="Q102" i="1"/>
  <c r="K102" i="1"/>
  <c r="J102" i="1"/>
  <c r="J116" i="1"/>
  <c r="P8" i="2"/>
  <c r="Q19" i="2"/>
  <c r="L19" i="2"/>
  <c r="M19" i="2" s="1"/>
  <c r="Q23" i="2"/>
  <c r="L23" i="2"/>
  <c r="M23" i="2" s="1"/>
  <c r="P32" i="2"/>
  <c r="Q82" i="2"/>
  <c r="L82" i="2"/>
  <c r="K82" i="2"/>
  <c r="M82" i="2" s="1"/>
  <c r="P102" i="2"/>
  <c r="L116" i="2"/>
  <c r="K116" i="2"/>
  <c r="M116" i="2" s="1"/>
  <c r="Q116" i="2"/>
  <c r="Q142" i="2"/>
  <c r="L142" i="2"/>
  <c r="K142" i="2"/>
  <c r="P159" i="2"/>
  <c r="Q35" i="2"/>
  <c r="M35" i="2"/>
  <c r="L35" i="2"/>
  <c r="Q169" i="2"/>
  <c r="K169" i="2"/>
  <c r="M169" i="2"/>
  <c r="L169" i="2"/>
  <c r="Q16" i="2"/>
  <c r="L16" i="2"/>
  <c r="M16" i="2" s="1"/>
  <c r="Q96" i="2"/>
  <c r="L96" i="2"/>
  <c r="K96" i="2"/>
  <c r="M96" i="2" s="1"/>
  <c r="Q14" i="2"/>
  <c r="P14" i="2"/>
  <c r="M14" i="2"/>
  <c r="L14" i="2"/>
  <c r="K14" i="2"/>
  <c r="Q32" i="2"/>
  <c r="L32" i="2"/>
  <c r="M32" i="2" s="1"/>
  <c r="K32" i="2"/>
  <c r="L46" i="2"/>
  <c r="K46" i="2"/>
  <c r="M46" i="2" s="1"/>
  <c r="Q46" i="2"/>
  <c r="Q70" i="2"/>
  <c r="L70" i="2"/>
  <c r="K70" i="2"/>
  <c r="Q93" i="2"/>
  <c r="P93" i="2"/>
  <c r="L93" i="2"/>
  <c r="K93" i="2"/>
  <c r="M93" i="2" s="1"/>
  <c r="Q102" i="2"/>
  <c r="M102" i="2"/>
  <c r="L102" i="2"/>
  <c r="K102" i="2"/>
  <c r="P102" i="1"/>
  <c r="J239" i="1"/>
  <c r="L239" i="1" s="1"/>
  <c r="K239" i="1"/>
  <c r="Q33" i="2"/>
  <c r="M33" i="2"/>
  <c r="L33" i="2"/>
  <c r="K33" i="2"/>
  <c r="P46" i="2"/>
  <c r="Q54" i="2"/>
  <c r="K54" i="2"/>
  <c r="M54" i="2" s="1"/>
  <c r="L54" i="2"/>
  <c r="P116" i="2"/>
  <c r="Q136" i="2"/>
  <c r="L136" i="2"/>
  <c r="K136" i="2"/>
  <c r="M136" i="2" s="1"/>
  <c r="P142" i="2"/>
  <c r="Q167" i="2"/>
  <c r="K167" i="2"/>
  <c r="M167" i="2"/>
  <c r="L132" i="2"/>
  <c r="K132" i="2"/>
  <c r="M132" i="2" s="1"/>
  <c r="Q132" i="2"/>
  <c r="J69" i="1"/>
  <c r="K69" i="1"/>
  <c r="Q110" i="1"/>
  <c r="K110" i="1"/>
  <c r="Q4" i="2"/>
  <c r="P4" i="2"/>
  <c r="Q9" i="2"/>
  <c r="L9" i="2"/>
  <c r="K9" i="2"/>
  <c r="M9" i="2" s="1"/>
  <c r="L77" i="2"/>
  <c r="K77" i="2"/>
  <c r="M77" i="2" s="1"/>
  <c r="Q77" i="2"/>
  <c r="K83" i="2"/>
  <c r="M83" i="2" s="1"/>
  <c r="Q83" i="2"/>
  <c r="P83" i="2"/>
  <c r="Q153" i="2"/>
  <c r="L153" i="2"/>
  <c r="K153" i="2"/>
  <c r="M153" i="2" s="1"/>
  <c r="P49" i="2"/>
  <c r="P60" i="2"/>
  <c r="P80" i="2"/>
  <c r="Q107" i="2"/>
  <c r="M107" i="2"/>
  <c r="L107" i="2"/>
  <c r="K107" i="2"/>
  <c r="Q123" i="2"/>
  <c r="L123" i="2"/>
  <c r="K123" i="2"/>
  <c r="M123" i="2" s="1"/>
  <c r="P139" i="2"/>
  <c r="Q160" i="2"/>
  <c r="L160" i="2"/>
  <c r="K160" i="2"/>
  <c r="M160" i="2" s="1"/>
  <c r="P172" i="2"/>
  <c r="P11" i="2"/>
  <c r="P27" i="2"/>
  <c r="Q37" i="2"/>
  <c r="M37" i="2"/>
  <c r="P86" i="2"/>
  <c r="P107" i="2"/>
  <c r="P123" i="2"/>
  <c r="Q143" i="2"/>
  <c r="L143" i="2"/>
  <c r="K143" i="2"/>
  <c r="M143" i="2" s="1"/>
  <c r="P160" i="2"/>
  <c r="P167" i="2"/>
  <c r="Q173" i="2"/>
  <c r="K173" i="2"/>
  <c r="M173" i="2" s="1"/>
  <c r="Q178" i="2"/>
  <c r="L178" i="2"/>
  <c r="K178" i="2"/>
  <c r="M178" i="2" s="1"/>
  <c r="Q47" i="2"/>
  <c r="K47" i="2"/>
  <c r="M47" i="2" s="1"/>
  <c r="Q58" i="2"/>
  <c r="M58" i="2"/>
  <c r="K58" i="2"/>
  <c r="Q66" i="2"/>
  <c r="L66" i="2"/>
  <c r="M66" i="2" s="1"/>
  <c r="K66" i="2"/>
  <c r="P92" i="2"/>
  <c r="Q101" i="2"/>
  <c r="L101" i="2"/>
  <c r="K101" i="2"/>
  <c r="M101" i="2" s="1"/>
  <c r="Q117" i="2"/>
  <c r="L117" i="2"/>
  <c r="K117" i="2"/>
  <c r="M117" i="2" s="1"/>
  <c r="Q133" i="2"/>
  <c r="L133" i="2"/>
  <c r="K133" i="2"/>
  <c r="M133" i="2" s="1"/>
  <c r="Q164" i="2"/>
  <c r="L164" i="2"/>
  <c r="K164" i="2"/>
  <c r="M164" i="2" s="1"/>
  <c r="Q168" i="2"/>
  <c r="L168" i="2"/>
  <c r="K168" i="2"/>
  <c r="M168" i="2" s="1"/>
  <c r="P9" i="2"/>
  <c r="P25" i="2"/>
  <c r="Q72" i="2"/>
  <c r="L72" i="2"/>
  <c r="K72" i="2"/>
  <c r="M72" i="2" s="1"/>
  <c r="Q147" i="2"/>
  <c r="L147" i="2"/>
  <c r="K147" i="2"/>
  <c r="M147" i="2" s="1"/>
  <c r="Q179" i="2"/>
  <c r="K179" i="2"/>
  <c r="Q210" i="1"/>
  <c r="J139" i="1"/>
  <c r="L139" i="1" s="1"/>
  <c r="P84" i="1"/>
  <c r="P123" i="1"/>
  <c r="L240" i="1"/>
  <c r="P258" i="1"/>
  <c r="Q71" i="1"/>
  <c r="Q75" i="1"/>
  <c r="P78" i="1"/>
  <c r="J91" i="1"/>
  <c r="Q139" i="1"/>
  <c r="P154" i="1"/>
  <c r="P167" i="1"/>
  <c r="K202" i="1"/>
  <c r="P215" i="1"/>
  <c r="Q220" i="1"/>
  <c r="Q234" i="1"/>
  <c r="K240" i="1"/>
  <c r="K3" i="2"/>
  <c r="K5" i="2"/>
  <c r="K12" i="2"/>
  <c r="K28" i="2"/>
  <c r="M28" i="2" s="1"/>
  <c r="P37" i="2"/>
  <c r="P47" i="2"/>
  <c r="L50" i="2"/>
  <c r="P58" i="2"/>
  <c r="L61" i="2"/>
  <c r="M61" i="2" s="1"/>
  <c r="P72" i="2"/>
  <c r="L81" i="2"/>
  <c r="K87" i="2"/>
  <c r="K108" i="2"/>
  <c r="Q111" i="2"/>
  <c r="L111" i="2"/>
  <c r="K111" i="2"/>
  <c r="M111" i="2" s="1"/>
  <c r="K124" i="2"/>
  <c r="M124" i="2" s="1"/>
  <c r="Q127" i="2"/>
  <c r="L127" i="2"/>
  <c r="K127" i="2"/>
  <c r="M127" i="2" s="1"/>
  <c r="M130" i="2"/>
  <c r="L140" i="2"/>
  <c r="M140" i="2" s="1"/>
  <c r="P147" i="2"/>
  <c r="K161" i="2"/>
  <c r="M161" i="2" s="1"/>
  <c r="P173" i="2"/>
  <c r="L179" i="2"/>
  <c r="Q262" i="1"/>
  <c r="Q211" i="1"/>
  <c r="Q244" i="1"/>
  <c r="Q263" i="1"/>
  <c r="P61" i="1"/>
  <c r="Q79" i="1"/>
  <c r="Q145" i="1"/>
  <c r="L202" i="1"/>
  <c r="K212" i="1"/>
  <c r="L212" i="1" s="1"/>
  <c r="Q240" i="1"/>
  <c r="P250" i="1"/>
  <c r="M264" i="1"/>
  <c r="Q275" i="1"/>
  <c r="J286" i="1"/>
  <c r="L286" i="1" s="1"/>
  <c r="L3" i="2"/>
  <c r="L5" i="2"/>
  <c r="P7" i="2"/>
  <c r="L12" i="2"/>
  <c r="L21" i="2"/>
  <c r="M21" i="2" s="1"/>
  <c r="P23" i="2"/>
  <c r="L28" i="2"/>
  <c r="L40" i="2"/>
  <c r="M40" i="2" s="1"/>
  <c r="M50" i="2"/>
  <c r="P78" i="2"/>
  <c r="M81" i="2"/>
  <c r="L87" i="2"/>
  <c r="M87" i="2" s="1"/>
  <c r="L108" i="2"/>
  <c r="P111" i="2"/>
  <c r="L124" i="2"/>
  <c r="P127" i="2"/>
  <c r="Q154" i="2"/>
  <c r="L154" i="2"/>
  <c r="K154" i="2"/>
  <c r="M154" i="2" s="1"/>
  <c r="L161" i="2"/>
  <c r="Q174" i="2"/>
  <c r="L174" i="2"/>
  <c r="K174" i="2"/>
  <c r="M174" i="2" s="1"/>
  <c r="M179" i="2"/>
  <c r="M3" i="2"/>
  <c r="M5" i="2"/>
  <c r="M12" i="2"/>
  <c r="Q56" i="2"/>
  <c r="K56" i="2"/>
  <c r="M56" i="2" s="1"/>
  <c r="Q64" i="2"/>
  <c r="K64" i="2"/>
  <c r="P84" i="2"/>
  <c r="Q90" i="2"/>
  <c r="L90" i="2"/>
  <c r="K90" i="2"/>
  <c r="M90" i="2" s="1"/>
  <c r="Q105" i="2"/>
  <c r="L105" i="2"/>
  <c r="K105" i="2"/>
  <c r="M105" i="2" s="1"/>
  <c r="Q121" i="2"/>
  <c r="L121" i="2"/>
  <c r="K121" i="2"/>
  <c r="M121" i="2" s="1"/>
  <c r="P130" i="2"/>
  <c r="Q137" i="2"/>
  <c r="L137" i="2"/>
  <c r="K137" i="2"/>
  <c r="M137" i="2" s="1"/>
  <c r="P154" i="2"/>
  <c r="P174" i="2"/>
  <c r="P179" i="2"/>
  <c r="Q191" i="1"/>
  <c r="P91" i="1"/>
  <c r="P104" i="1"/>
  <c r="L231" i="1"/>
  <c r="P35" i="1"/>
  <c r="J76" i="1"/>
  <c r="P100" i="1"/>
  <c r="K119" i="1"/>
  <c r="P124" i="1"/>
  <c r="J135" i="1"/>
  <c r="P193" i="1"/>
  <c r="L216" i="1"/>
  <c r="L221" i="1"/>
  <c r="J241" i="1"/>
  <c r="L241" i="1" s="1"/>
  <c r="Q246" i="1"/>
  <c r="P255" i="1"/>
  <c r="J276" i="1"/>
  <c r="L276" i="1" s="1"/>
  <c r="P281" i="1"/>
  <c r="P5" i="2"/>
  <c r="P21" i="2"/>
  <c r="P35" i="2"/>
  <c r="K48" i="2"/>
  <c r="M48" i="2" s="1"/>
  <c r="L56" i="2"/>
  <c r="K59" i="2"/>
  <c r="M59" i="2" s="1"/>
  <c r="L64" i="2"/>
  <c r="K73" i="2"/>
  <c r="P90" i="2"/>
  <c r="P105" i="2"/>
  <c r="P121" i="2"/>
  <c r="P137" i="2"/>
  <c r="Q158" i="2"/>
  <c r="L158" i="2"/>
  <c r="K158" i="2"/>
  <c r="M158" i="2" s="1"/>
  <c r="Q175" i="2"/>
  <c r="K175" i="2"/>
  <c r="Q180" i="2"/>
  <c r="L180" i="2"/>
  <c r="K180" i="2"/>
  <c r="M180" i="2" s="1"/>
  <c r="J197" i="1"/>
  <c r="L197" i="1" s="1"/>
  <c r="L124" i="1"/>
  <c r="L6" i="1"/>
  <c r="P129" i="1"/>
  <c r="Q202" i="1"/>
  <c r="Q216" i="1"/>
  <c r="P221" i="1"/>
  <c r="Q231" i="1"/>
  <c r="Q255" i="1"/>
  <c r="Q259" i="1"/>
  <c r="Q281" i="1"/>
  <c r="L38" i="2"/>
  <c r="P45" i="2"/>
  <c r="L48" i="2"/>
  <c r="P56" i="2"/>
  <c r="L59" i="2"/>
  <c r="P64" i="2"/>
  <c r="L73" i="2"/>
  <c r="P96" i="2"/>
  <c r="Q115" i="2"/>
  <c r="L115" i="2"/>
  <c r="K115" i="2"/>
  <c r="M115" i="2" s="1"/>
  <c r="Q131" i="2"/>
  <c r="L131" i="2"/>
  <c r="K131" i="2"/>
  <c r="M131" i="2" s="1"/>
  <c r="Q141" i="2"/>
  <c r="L141" i="2"/>
  <c r="K141" i="2"/>
  <c r="M141" i="2" s="1"/>
  <c r="P158" i="2"/>
  <c r="P169" i="2"/>
  <c r="L175" i="2"/>
  <c r="P180" i="2"/>
  <c r="P19" i="2"/>
  <c r="M38" i="2"/>
  <c r="P70" i="2"/>
  <c r="M73" i="2"/>
  <c r="Q76" i="2"/>
  <c r="L76" i="2"/>
  <c r="K76" i="2"/>
  <c r="M76" i="2" s="1"/>
  <c r="Q162" i="2"/>
  <c r="L162" i="2"/>
  <c r="K162" i="2"/>
  <c r="M162" i="2" s="1"/>
  <c r="P165" i="2"/>
  <c r="Q170" i="2"/>
  <c r="L170" i="2"/>
  <c r="K170" i="2"/>
  <c r="Q181" i="2"/>
  <c r="K181" i="2"/>
  <c r="M181" i="2" s="1"/>
  <c r="P45" i="1"/>
  <c r="P29" i="1"/>
  <c r="Q37" i="1"/>
  <c r="P42" i="1"/>
  <c r="P63" i="1"/>
  <c r="P87" i="1"/>
  <c r="P93" i="1"/>
  <c r="P101" i="1"/>
  <c r="P130" i="1"/>
  <c r="J147" i="1"/>
  <c r="P175" i="1"/>
  <c r="P194" i="1"/>
  <c r="J203" i="1"/>
  <c r="Q213" i="1"/>
  <c r="J222" i="1"/>
  <c r="P227" i="1"/>
  <c r="L232" i="1"/>
  <c r="Q236" i="1"/>
  <c r="P241" i="1"/>
  <c r="K256" i="1"/>
  <c r="L256" i="1" s="1"/>
  <c r="Q270" i="1"/>
  <c r="K22" i="2"/>
  <c r="M22" i="2" s="1"/>
  <c r="K31" i="2"/>
  <c r="M31" i="2" s="1"/>
  <c r="P33" i="2"/>
  <c r="K36" i="2"/>
  <c r="P76" i="2"/>
  <c r="K91" i="2"/>
  <c r="M91" i="2" s="1"/>
  <c r="K106" i="2"/>
  <c r="M106" i="2" s="1"/>
  <c r="Q109" i="2"/>
  <c r="L109" i="2"/>
  <c r="K109" i="2"/>
  <c r="M109" i="2" s="1"/>
  <c r="K122" i="2"/>
  <c r="Q125" i="2"/>
  <c r="L125" i="2"/>
  <c r="K125" i="2"/>
  <c r="M125" i="2" s="1"/>
  <c r="K138" i="2"/>
  <c r="Q145" i="2"/>
  <c r="L145" i="2"/>
  <c r="K145" i="2"/>
  <c r="M145" i="2" s="1"/>
  <c r="P162" i="2"/>
  <c r="Q166" i="2"/>
  <c r="L166" i="2"/>
  <c r="K166" i="2"/>
  <c r="M166" i="2" s="1"/>
  <c r="P170" i="2"/>
  <c r="P175" i="2"/>
  <c r="L181" i="2"/>
  <c r="Q13" i="2"/>
  <c r="P17" i="2"/>
  <c r="Q29" i="2"/>
  <c r="Q41" i="2"/>
  <c r="M41" i="2"/>
  <c r="P43" i="2"/>
  <c r="P82" i="2"/>
  <c r="L91" i="2"/>
  <c r="L106" i="2"/>
  <c r="P109" i="2"/>
  <c r="L122" i="2"/>
  <c r="P125" i="2"/>
  <c r="L138" i="2"/>
  <c r="P145" i="2"/>
  <c r="P166" i="2"/>
  <c r="Q171" i="2"/>
  <c r="K171" i="2"/>
  <c r="M171" i="2" s="1"/>
  <c r="Q176" i="2"/>
  <c r="L176" i="2"/>
  <c r="K176" i="2"/>
  <c r="M176" i="2" s="1"/>
  <c r="P284" i="1"/>
  <c r="P144" i="1"/>
  <c r="P147" i="1"/>
  <c r="K203" i="1"/>
  <c r="L203" i="1" s="1"/>
  <c r="K222" i="1"/>
  <c r="Q12" i="1"/>
  <c r="Q69" i="1"/>
  <c r="K77" i="1"/>
  <c r="L77" i="1" s="1"/>
  <c r="Q81" i="1"/>
  <c r="J106" i="1"/>
  <c r="P170" i="1"/>
  <c r="M195" i="1"/>
  <c r="J200" i="1"/>
  <c r="L200" i="1" s="1"/>
  <c r="K228" i="1"/>
  <c r="L228" i="1" s="1"/>
  <c r="J248" i="1"/>
  <c r="L248" i="1" s="1"/>
  <c r="Q260" i="1"/>
  <c r="J283" i="1"/>
  <c r="L283" i="1" s="1"/>
  <c r="K4" i="2"/>
  <c r="M4" i="2" s="1"/>
  <c r="M6" i="2"/>
  <c r="K13" i="2"/>
  <c r="M13" i="2" s="1"/>
  <c r="M15" i="2"/>
  <c r="M36" i="2"/>
  <c r="K41" i="2"/>
  <c r="P54" i="2"/>
  <c r="P62" i="2"/>
  <c r="K71" i="2"/>
  <c r="M71" i="2" s="1"/>
  <c r="P88" i="2"/>
  <c r="Q94" i="2"/>
  <c r="L94" i="2"/>
  <c r="K94" i="2"/>
  <c r="M94" i="2" s="1"/>
  <c r="Q103" i="2"/>
  <c r="L103" i="2"/>
  <c r="K103" i="2"/>
  <c r="M103" i="2" s="1"/>
  <c r="Q119" i="2"/>
  <c r="L119" i="2"/>
  <c r="K119" i="2"/>
  <c r="M119" i="2" s="1"/>
  <c r="M122" i="2"/>
  <c r="Q135" i="2"/>
  <c r="L135" i="2"/>
  <c r="K135" i="2"/>
  <c r="M135" i="2" s="1"/>
  <c r="M138" i="2"/>
  <c r="Q152" i="2"/>
  <c r="L152" i="2"/>
  <c r="M152" i="2" s="1"/>
  <c r="K152" i="2"/>
  <c r="L171" i="2"/>
  <c r="P176" i="2"/>
  <c r="P181" i="2"/>
  <c r="P116" i="1"/>
  <c r="P83" i="1"/>
  <c r="P33" i="1"/>
  <c r="P69" i="1"/>
  <c r="P94" i="1"/>
  <c r="K106" i="1"/>
  <c r="L106" i="1" s="1"/>
  <c r="P137" i="1"/>
  <c r="J143" i="1"/>
  <c r="L143" i="1" s="1"/>
  <c r="Q164" i="1"/>
  <c r="P203" i="1"/>
  <c r="P214" i="1"/>
  <c r="L233" i="1"/>
  <c r="Q272" i="1"/>
  <c r="L4" i="2"/>
  <c r="L13" i="2"/>
  <c r="P15" i="2"/>
  <c r="L20" i="2"/>
  <c r="M20" i="2" s="1"/>
  <c r="L29" i="2"/>
  <c r="P31" i="2"/>
  <c r="L41" i="2"/>
  <c r="L71" i="2"/>
  <c r="P94" i="2"/>
  <c r="P103" i="2"/>
  <c r="P119" i="2"/>
  <c r="P135" i="2"/>
  <c r="P152" i="2"/>
  <c r="Q177" i="2"/>
  <c r="K177" i="2"/>
  <c r="Q182" i="2"/>
  <c r="L182" i="2"/>
  <c r="K182" i="2"/>
  <c r="M182" i="2" s="1"/>
  <c r="P4" i="1"/>
  <c r="J123" i="1"/>
  <c r="J254" i="1"/>
  <c r="L254" i="1" s="1"/>
  <c r="P20" i="1"/>
  <c r="P17" i="1"/>
  <c r="P31" i="1"/>
  <c r="P38" i="1"/>
  <c r="M77" i="1"/>
  <c r="Q89" i="1"/>
  <c r="Q95" i="1"/>
  <c r="P106" i="1"/>
  <c r="Q200" i="1"/>
  <c r="P228" i="1"/>
  <c r="P283" i="1"/>
  <c r="M29" i="2"/>
  <c r="Q39" i="2"/>
  <c r="M39" i="2"/>
  <c r="P41" i="2"/>
  <c r="P68" i="2"/>
  <c r="Q113" i="2"/>
  <c r="L113" i="2"/>
  <c r="K113" i="2"/>
  <c r="M113" i="2" s="1"/>
  <c r="Q129" i="2"/>
  <c r="L129" i="2"/>
  <c r="K129" i="2"/>
  <c r="M129" i="2" s="1"/>
  <c r="Q156" i="2"/>
  <c r="L156" i="2"/>
  <c r="K156" i="2"/>
  <c r="M156" i="2" s="1"/>
  <c r="P171" i="2"/>
  <c r="L177" i="2"/>
  <c r="P182" i="2"/>
  <c r="Q62" i="1"/>
  <c r="J62" i="1"/>
  <c r="K62" i="1"/>
  <c r="K22" i="1"/>
  <c r="J22" i="1"/>
  <c r="L22" i="1" s="1"/>
  <c r="P22" i="1"/>
  <c r="Q22" i="1"/>
  <c r="Q58" i="1"/>
  <c r="K58" i="1"/>
  <c r="M58" i="1"/>
  <c r="J58" i="1"/>
  <c r="K176" i="1"/>
  <c r="J176" i="1"/>
  <c r="L176" i="1" s="1"/>
  <c r="Q176" i="1"/>
  <c r="Q82" i="1"/>
  <c r="K82" i="1"/>
  <c r="J82" i="1"/>
  <c r="Q151" i="1"/>
  <c r="P151" i="1"/>
  <c r="M151" i="1"/>
  <c r="K151" i="1"/>
  <c r="J151" i="1"/>
  <c r="Q80" i="1"/>
  <c r="K80" i="1"/>
  <c r="J80" i="1"/>
  <c r="L80" i="1" s="1"/>
  <c r="P36" i="1"/>
  <c r="M2" i="1"/>
  <c r="K2" i="1"/>
  <c r="J2" i="1"/>
  <c r="L2" i="1" s="1"/>
  <c r="Q2" i="1"/>
  <c r="P54" i="1"/>
  <c r="Q70" i="1"/>
  <c r="P70" i="1"/>
  <c r="K70" i="1"/>
  <c r="J70" i="1"/>
  <c r="L70" i="1" s="1"/>
  <c r="L12" i="1"/>
  <c r="Q30" i="1"/>
  <c r="K30" i="1"/>
  <c r="J30" i="1"/>
  <c r="P30" i="1"/>
  <c r="P49" i="1"/>
  <c r="J64" i="1"/>
  <c r="Q64" i="1"/>
  <c r="K64" i="1"/>
  <c r="L64" i="1" s="1"/>
  <c r="P14" i="1"/>
  <c r="P32" i="1"/>
  <c r="K66" i="1"/>
  <c r="Q66" i="1"/>
  <c r="J66" i="1"/>
  <c r="L66" i="1" s="1"/>
  <c r="M49" i="1"/>
  <c r="K49" i="1"/>
  <c r="J49" i="1"/>
  <c r="Q49" i="1"/>
  <c r="Q18" i="1"/>
  <c r="P18" i="1"/>
  <c r="J18" i="1"/>
  <c r="K18" i="1"/>
  <c r="Q44" i="1"/>
  <c r="M44" i="1"/>
  <c r="K44" i="1"/>
  <c r="J44" i="1"/>
  <c r="Q32" i="1"/>
  <c r="K32" i="1"/>
  <c r="J32" i="1"/>
  <c r="L32" i="1"/>
  <c r="K153" i="1"/>
  <c r="J153" i="1"/>
  <c r="L153" i="1" s="1"/>
  <c r="Q153" i="1"/>
  <c r="Q11" i="1"/>
  <c r="P11" i="1"/>
  <c r="L11" i="1"/>
  <c r="K11" i="1"/>
  <c r="J11" i="1"/>
  <c r="Q54" i="1"/>
  <c r="J54" i="1"/>
  <c r="K54" i="1"/>
  <c r="L54" i="1" s="1"/>
  <c r="P2" i="1"/>
  <c r="P153" i="1"/>
  <c r="K173" i="1"/>
  <c r="J173" i="1"/>
  <c r="Q173" i="1"/>
  <c r="Q48" i="1"/>
  <c r="P48" i="1"/>
  <c r="M48" i="1"/>
  <c r="K48" i="1"/>
  <c r="J48" i="1"/>
  <c r="Q36" i="1"/>
  <c r="K36" i="1"/>
  <c r="J36" i="1"/>
  <c r="L36" i="1"/>
  <c r="Q13" i="1"/>
  <c r="P13" i="1"/>
  <c r="J13" i="1"/>
  <c r="K13" i="1"/>
  <c r="Q14" i="1"/>
  <c r="J14" i="1"/>
  <c r="K14" i="1"/>
  <c r="L14" i="1" s="1"/>
  <c r="L103" i="1"/>
  <c r="L179" i="1"/>
  <c r="K179" i="1"/>
  <c r="J179" i="1"/>
  <c r="Q179" i="1"/>
  <c r="Q120" i="1"/>
  <c r="K120" i="1"/>
  <c r="J120" i="1"/>
  <c r="L120" i="1" s="1"/>
  <c r="Q7" i="1"/>
  <c r="K7" i="1"/>
  <c r="M7" i="1"/>
  <c r="J7" i="1"/>
  <c r="P3" i="1"/>
  <c r="Q9" i="1"/>
  <c r="P9" i="1"/>
  <c r="M9" i="1"/>
  <c r="J9" i="1"/>
  <c r="K9" i="1"/>
  <c r="L9" i="1" s="1"/>
  <c r="J118" i="1"/>
  <c r="Q118" i="1"/>
  <c r="K118" i="1"/>
  <c r="M118" i="1"/>
  <c r="L118" i="1"/>
  <c r="J3" i="1"/>
  <c r="K3" i="1"/>
  <c r="Q3" i="1"/>
  <c r="M3" i="1"/>
  <c r="Q74" i="1"/>
  <c r="J74" i="1"/>
  <c r="L74" i="1" s="1"/>
  <c r="P74" i="1"/>
  <c r="K74" i="1"/>
  <c r="Q46" i="1"/>
  <c r="M46" i="1"/>
  <c r="J46" i="1"/>
  <c r="L46" i="1" s="1"/>
  <c r="K46" i="1"/>
  <c r="Q40" i="1"/>
  <c r="P40" i="1"/>
  <c r="K40" i="1"/>
  <c r="J40" i="1"/>
  <c r="L40" i="1" s="1"/>
  <c r="J10" i="1"/>
  <c r="Q10" i="1"/>
  <c r="K10" i="1"/>
  <c r="Q34" i="1"/>
  <c r="J34" i="1"/>
  <c r="L34" i="1" s="1"/>
  <c r="K34" i="1"/>
  <c r="Q56" i="1"/>
  <c r="P56" i="1"/>
  <c r="J56" i="1"/>
  <c r="K56" i="1"/>
  <c r="P10" i="1"/>
  <c r="P16" i="1"/>
  <c r="L16" i="1"/>
  <c r="J16" i="1"/>
  <c r="Q16" i="1"/>
  <c r="M16" i="1"/>
  <c r="K16" i="1"/>
  <c r="P34" i="1"/>
  <c r="Q15" i="1"/>
  <c r="P15" i="1"/>
  <c r="K45" i="1"/>
  <c r="J45" i="1"/>
  <c r="Q76" i="1"/>
  <c r="L76" i="1"/>
  <c r="Q94" i="1"/>
  <c r="K94" i="1"/>
  <c r="L94" i="1" s="1"/>
  <c r="K144" i="1"/>
  <c r="J144" i="1"/>
  <c r="L144" i="1" s="1"/>
  <c r="L156" i="1"/>
  <c r="Q156" i="1"/>
  <c r="J79" i="1"/>
  <c r="P134" i="1"/>
  <c r="P88" i="1"/>
  <c r="M53" i="1"/>
  <c r="K53" i="1"/>
  <c r="K134" i="1"/>
  <c r="K20" i="1"/>
  <c r="P127" i="1"/>
  <c r="K162" i="1"/>
  <c r="L162" i="1" s="1"/>
  <c r="P23" i="1"/>
  <c r="Q45" i="1"/>
  <c r="Q53" i="1"/>
  <c r="K59" i="1"/>
  <c r="J59" i="1"/>
  <c r="L59" i="1" s="1"/>
  <c r="K67" i="1"/>
  <c r="J67" i="1"/>
  <c r="Q91" i="1"/>
  <c r="K95" i="1"/>
  <c r="P115" i="1"/>
  <c r="Q124" i="1"/>
  <c r="K128" i="1"/>
  <c r="J128" i="1"/>
  <c r="P131" i="1"/>
  <c r="Q141" i="1"/>
  <c r="P145" i="1"/>
  <c r="P157" i="1"/>
  <c r="K163" i="1"/>
  <c r="J163" i="1"/>
  <c r="L163" i="1" s="1"/>
  <c r="Q163" i="1"/>
  <c r="P176" i="1"/>
  <c r="P198" i="1"/>
  <c r="Q267" i="1"/>
  <c r="M268" i="1"/>
  <c r="P267" i="1"/>
  <c r="K268" i="1"/>
  <c r="J268" i="1"/>
  <c r="K28" i="1"/>
  <c r="K79" i="1"/>
  <c r="Q115" i="1"/>
  <c r="K115" i="1"/>
  <c r="J115" i="1"/>
  <c r="L115" i="1" s="1"/>
  <c r="P28" i="1"/>
  <c r="P43" i="1"/>
  <c r="Q72" i="1"/>
  <c r="P79" i="1"/>
  <c r="P82" i="1"/>
  <c r="P85" i="1"/>
  <c r="Q92" i="1"/>
  <c r="K92" i="1"/>
  <c r="Q101" i="1"/>
  <c r="K101" i="1"/>
  <c r="J101" i="1"/>
  <c r="L101" i="1" s="1"/>
  <c r="P112" i="1"/>
  <c r="P138" i="1"/>
  <c r="Q142" i="1"/>
  <c r="J142" i="1"/>
  <c r="L142" i="1" s="1"/>
  <c r="Q158" i="1"/>
  <c r="K158" i="1"/>
  <c r="J158" i="1"/>
  <c r="Q168" i="1"/>
  <c r="K168" i="1"/>
  <c r="J168" i="1"/>
  <c r="P172" i="1"/>
  <c r="K177" i="1"/>
  <c r="J177" i="1"/>
  <c r="L177" i="1" s="1"/>
  <c r="K61" i="1"/>
  <c r="L61" i="1" s="1"/>
  <c r="J61" i="1"/>
  <c r="Q195" i="1"/>
  <c r="P195" i="1"/>
  <c r="M196" i="1"/>
  <c r="K196" i="1"/>
  <c r="P76" i="1"/>
  <c r="Q134" i="1"/>
  <c r="K21" i="1"/>
  <c r="L21" i="1" s="1"/>
  <c r="J26" i="1"/>
  <c r="K29" i="1"/>
  <c r="J29" i="1"/>
  <c r="L29" i="1" s="1"/>
  <c r="P64" i="1"/>
  <c r="J72" i="1"/>
  <c r="L72" i="1" s="1"/>
  <c r="Q85" i="1"/>
  <c r="K89" i="1"/>
  <c r="L89" i="1" s="1"/>
  <c r="J92" i="1"/>
  <c r="L92" i="1" s="1"/>
  <c r="M95" i="1"/>
  <c r="K104" i="1"/>
  <c r="L104" i="1" s="1"/>
  <c r="Q107" i="1"/>
  <c r="K107" i="1"/>
  <c r="J107" i="1"/>
  <c r="J110" i="1"/>
  <c r="P118" i="1"/>
  <c r="J122" i="1"/>
  <c r="L122" i="1" s="1"/>
  <c r="K132" i="1"/>
  <c r="J132" i="1"/>
  <c r="K135" i="1"/>
  <c r="L135" i="1" s="1"/>
  <c r="K142" i="1"/>
  <c r="P177" i="1"/>
  <c r="K199" i="1"/>
  <c r="L199" i="1" s="1"/>
  <c r="Q121" i="1"/>
  <c r="K121" i="1"/>
  <c r="J121" i="1"/>
  <c r="M190" i="1"/>
  <c r="P253" i="1"/>
  <c r="P8" i="1"/>
  <c r="Q113" i="1"/>
  <c r="K113" i="1"/>
  <c r="J113" i="1"/>
  <c r="L113" i="1" s="1"/>
  <c r="J53" i="1"/>
  <c r="K167" i="1"/>
  <c r="L167" i="1" s="1"/>
  <c r="J167" i="1"/>
  <c r="P58" i="1"/>
  <c r="P121" i="1"/>
  <c r="K172" i="1"/>
  <c r="J172" i="1"/>
  <c r="L172" i="1" s="1"/>
  <c r="K41" i="1"/>
  <c r="J41" i="1"/>
  <c r="L41" i="1" s="1"/>
  <c r="Q59" i="1"/>
  <c r="K65" i="1"/>
  <c r="L65" i="1" s="1"/>
  <c r="J65" i="1"/>
  <c r="Q67" i="1"/>
  <c r="K83" i="1"/>
  <c r="P107" i="1"/>
  <c r="K116" i="1"/>
  <c r="L116" i="1" s="1"/>
  <c r="Q128" i="1"/>
  <c r="P132" i="1"/>
  <c r="P135" i="1"/>
  <c r="P142" i="1"/>
  <c r="P146" i="1"/>
  <c r="K159" i="1"/>
  <c r="J159" i="1"/>
  <c r="Q159" i="1"/>
  <c r="K169" i="1"/>
  <c r="J169" i="1"/>
  <c r="Q169" i="1"/>
  <c r="Q178" i="1"/>
  <c r="K178" i="1"/>
  <c r="J178" i="1"/>
  <c r="L178" i="1" s="1"/>
  <c r="M25" i="1"/>
  <c r="K25" i="1"/>
  <c r="J25" i="1"/>
  <c r="Q103" i="1"/>
  <c r="K103" i="1"/>
  <c r="J103" i="1"/>
  <c r="Q131" i="1"/>
  <c r="K205" i="1"/>
  <c r="L205" i="1" s="1"/>
  <c r="Q204" i="1"/>
  <c r="P204" i="1"/>
  <c r="J112" i="1"/>
  <c r="L112" i="1" s="1"/>
  <c r="K85" i="1"/>
  <c r="L85" i="1" s="1"/>
  <c r="K131" i="1"/>
  <c r="L131" i="1" s="1"/>
  <c r="Q25" i="1"/>
  <c r="J95" i="1"/>
  <c r="L95" i="1" s="1"/>
  <c r="P162" i="1"/>
  <c r="Q86" i="1"/>
  <c r="K86" i="1"/>
  <c r="L86" i="1" s="1"/>
  <c r="Q146" i="1"/>
  <c r="K146" i="1"/>
  <c r="J146" i="1"/>
  <c r="P21" i="1"/>
  <c r="J38" i="1"/>
  <c r="Q21" i="1"/>
  <c r="K24" i="1"/>
  <c r="Q29" i="1"/>
  <c r="K38" i="1"/>
  <c r="L38" i="1" s="1"/>
  <c r="K57" i="1"/>
  <c r="J57" i="1"/>
  <c r="L57" i="1" s="1"/>
  <c r="P72" i="1"/>
  <c r="L83" i="1"/>
  <c r="P86" i="1"/>
  <c r="J93" i="1"/>
  <c r="L93" i="1" s="1"/>
  <c r="P113" i="1"/>
  <c r="Q129" i="1"/>
  <c r="K129" i="1"/>
  <c r="L129" i="1" s="1"/>
  <c r="Q132" i="1"/>
  <c r="Q136" i="1"/>
  <c r="P136" i="1"/>
  <c r="J136" i="1"/>
  <c r="L136" i="1" s="1"/>
  <c r="P164" i="1"/>
  <c r="P169" i="1"/>
  <c r="P173" i="1"/>
  <c r="P178" i="1"/>
  <c r="Q219" i="1"/>
  <c r="P219" i="1"/>
  <c r="P120" i="1"/>
  <c r="K31" i="1"/>
  <c r="J31" i="1"/>
  <c r="L31" i="1" s="1"/>
  <c r="J134" i="1"/>
  <c r="L20" i="1"/>
  <c r="P66" i="1"/>
  <c r="K43" i="1"/>
  <c r="J43" i="1"/>
  <c r="L43" i="1" s="1"/>
  <c r="P109" i="1"/>
  <c r="P6" i="1"/>
  <c r="P62" i="1"/>
  <c r="Q68" i="1"/>
  <c r="M68" i="1"/>
  <c r="P80" i="1"/>
  <c r="K93" i="1"/>
  <c r="Q96" i="1"/>
  <c r="K96" i="1"/>
  <c r="J96" i="1"/>
  <c r="P110" i="1"/>
  <c r="P122" i="1"/>
  <c r="P159" i="1"/>
  <c r="K127" i="1"/>
  <c r="J127" i="1"/>
  <c r="L127" i="1" s="1"/>
  <c r="K157" i="1"/>
  <c r="L157" i="1" s="1"/>
  <c r="J157" i="1"/>
  <c r="Q157" i="1"/>
  <c r="K26" i="1"/>
  <c r="Q4" i="1"/>
  <c r="P26" i="1"/>
  <c r="P46" i="1"/>
  <c r="J5" i="1"/>
  <c r="L5" i="1" s="1"/>
  <c r="M24" i="1"/>
  <c r="K27" i="1"/>
  <c r="J27" i="1"/>
  <c r="L27" i="1" s="1"/>
  <c r="Q41" i="1"/>
  <c r="J60" i="1"/>
  <c r="L60" i="1" s="1"/>
  <c r="J68" i="1"/>
  <c r="J87" i="1"/>
  <c r="L87" i="1" s="1"/>
  <c r="Q90" i="1"/>
  <c r="K90" i="1"/>
  <c r="Q105" i="1"/>
  <c r="K105" i="1"/>
  <c r="J105" i="1"/>
  <c r="J108" i="1"/>
  <c r="Q114" i="1"/>
  <c r="J133" i="1"/>
  <c r="L133" i="1" s="1"/>
  <c r="P139" i="1"/>
  <c r="Q160" i="1"/>
  <c r="K160" i="1"/>
  <c r="J160" i="1"/>
  <c r="L160" i="1" s="1"/>
  <c r="K165" i="1"/>
  <c r="J165" i="1"/>
  <c r="L165" i="1" s="1"/>
  <c r="Q165" i="1"/>
  <c r="M193" i="1"/>
  <c r="J193" i="1"/>
  <c r="L193" i="1" s="1"/>
  <c r="Q192" i="1"/>
  <c r="P197" i="1"/>
  <c r="K220" i="1"/>
  <c r="L220" i="1" s="1"/>
  <c r="J28" i="1"/>
  <c r="L28" i="1" s="1"/>
  <c r="P47" i="1"/>
  <c r="J196" i="1"/>
  <c r="K23" i="1"/>
  <c r="P71" i="1"/>
  <c r="P103" i="1"/>
  <c r="P53" i="1"/>
  <c r="Q138" i="1"/>
  <c r="K138" i="1"/>
  <c r="J138" i="1"/>
  <c r="L138" i="1" s="1"/>
  <c r="J190" i="1"/>
  <c r="L190" i="1" s="1"/>
  <c r="Q278" i="1"/>
  <c r="P278" i="1"/>
  <c r="K5" i="1"/>
  <c r="K12" i="1"/>
  <c r="P19" i="1"/>
  <c r="K33" i="1"/>
  <c r="J33" i="1"/>
  <c r="L33" i="1" s="1"/>
  <c r="J47" i="1"/>
  <c r="Q57" i="1"/>
  <c r="K60" i="1"/>
  <c r="K63" i="1"/>
  <c r="J63" i="1"/>
  <c r="Q65" i="1"/>
  <c r="K68" i="1"/>
  <c r="P75" i="1"/>
  <c r="J81" i="1"/>
  <c r="L81" i="1" s="1"/>
  <c r="K87" i="1"/>
  <c r="J90" i="1"/>
  <c r="L90" i="1" s="1"/>
  <c r="P96" i="1"/>
  <c r="L102" i="1"/>
  <c r="L105" i="1"/>
  <c r="K108" i="1"/>
  <c r="Q111" i="1"/>
  <c r="K111" i="1"/>
  <c r="J111" i="1"/>
  <c r="L111" i="1" s="1"/>
  <c r="J114" i="1"/>
  <c r="K130" i="1"/>
  <c r="J130" i="1"/>
  <c r="K133" i="1"/>
  <c r="Q137" i="1"/>
  <c r="Q140" i="1"/>
  <c r="K140" i="1"/>
  <c r="K155" i="1"/>
  <c r="J155" i="1"/>
  <c r="L155" i="1" s="1"/>
  <c r="Q155" i="1"/>
  <c r="P155" i="1"/>
  <c r="P160" i="1"/>
  <c r="P165" i="1"/>
  <c r="J170" i="1"/>
  <c r="P179" i="1"/>
  <c r="K193" i="1"/>
  <c r="P212" i="1"/>
  <c r="K15" i="1"/>
  <c r="L15" i="1" s="1"/>
  <c r="Q88" i="1"/>
  <c r="K88" i="1"/>
  <c r="L88" i="1" s="1"/>
  <c r="Q109" i="1"/>
  <c r="K109" i="1"/>
  <c r="J109" i="1"/>
  <c r="L109" i="1" s="1"/>
  <c r="K37" i="1"/>
  <c r="J37" i="1"/>
  <c r="L37" i="1" s="1"/>
  <c r="K112" i="1"/>
  <c r="J23" i="1"/>
  <c r="K35" i="1"/>
  <c r="J35" i="1"/>
  <c r="L35" i="1" s="1"/>
  <c r="L26" i="1"/>
  <c r="K19" i="1"/>
  <c r="L19" i="1" s="1"/>
  <c r="P41" i="1"/>
  <c r="Q19" i="1"/>
  <c r="P27" i="1"/>
  <c r="K39" i="1"/>
  <c r="J39" i="1"/>
  <c r="P44" i="1"/>
  <c r="K55" i="1"/>
  <c r="L55" i="1" s="1"/>
  <c r="J55" i="1"/>
  <c r="Q78" i="1"/>
  <c r="K78" i="1"/>
  <c r="L78" i="1" s="1"/>
  <c r="K81" i="1"/>
  <c r="Q84" i="1"/>
  <c r="K84" i="1"/>
  <c r="L84" i="1" s="1"/>
  <c r="P90" i="1"/>
  <c r="P105" i="1"/>
  <c r="K114" i="1"/>
  <c r="L114" i="1" s="1"/>
  <c r="Q117" i="1"/>
  <c r="P117" i="1"/>
  <c r="M117" i="1"/>
  <c r="K117" i="1"/>
  <c r="J117" i="1"/>
  <c r="L117" i="1" s="1"/>
  <c r="J137" i="1"/>
  <c r="J140" i="1"/>
  <c r="L140" i="1" s="1"/>
  <c r="K161" i="1"/>
  <c r="J161" i="1"/>
  <c r="L161" i="1" s="1"/>
  <c r="Q161" i="1"/>
  <c r="P161" i="1"/>
  <c r="K166" i="1"/>
  <c r="Q166" i="1"/>
  <c r="P166" i="1"/>
  <c r="K170" i="1"/>
  <c r="Q180" i="1"/>
  <c r="K180" i="1"/>
  <c r="J180" i="1"/>
  <c r="Q162" i="1"/>
  <c r="K4" i="1"/>
  <c r="J4" i="1"/>
  <c r="Q23" i="1"/>
  <c r="J24" i="1"/>
  <c r="J12" i="1"/>
  <c r="P7" i="1"/>
  <c r="K17" i="1"/>
  <c r="P24" i="1"/>
  <c r="Q42" i="1"/>
  <c r="K47" i="1"/>
  <c r="J17" i="1"/>
  <c r="Q27" i="1"/>
  <c r="J42" i="1"/>
  <c r="L42" i="1" s="1"/>
  <c r="P60" i="1"/>
  <c r="J78" i="1"/>
  <c r="J84" i="1"/>
  <c r="Q100" i="1"/>
  <c r="P111" i="1"/>
  <c r="P133" i="1"/>
  <c r="K137" i="1"/>
  <c r="P140" i="1"/>
  <c r="J166" i="1"/>
  <c r="P180" i="1"/>
  <c r="Q226" i="1"/>
  <c r="L227" i="1"/>
  <c r="P272" i="1"/>
  <c r="Q230" i="1"/>
  <c r="P230" i="1"/>
  <c r="Q199" i="1"/>
  <c r="P199" i="1"/>
  <c r="J211" i="1"/>
  <c r="Q218" i="1"/>
  <c r="Q280" i="1"/>
  <c r="P280" i="1"/>
  <c r="J154" i="1"/>
  <c r="L154" i="1" s="1"/>
  <c r="J207" i="1"/>
  <c r="L207" i="1" s="1"/>
  <c r="K211" i="1"/>
  <c r="J219" i="1"/>
  <c r="L219" i="1" s="1"/>
  <c r="J224" i="1"/>
  <c r="L224" i="1" s="1"/>
  <c r="Q227" i="1"/>
  <c r="Q238" i="1"/>
  <c r="P238" i="1"/>
  <c r="P257" i="1"/>
  <c r="K261" i="1"/>
  <c r="J281" i="1"/>
  <c r="Q284" i="1"/>
  <c r="J125" i="1"/>
  <c r="L125" i="1" s="1"/>
  <c r="K171" i="1"/>
  <c r="J171" i="1"/>
  <c r="L171" i="1" s="1"/>
  <c r="J174" i="1"/>
  <c r="P190" i="1"/>
  <c r="P201" i="1"/>
  <c r="K207" i="1"/>
  <c r="J210" i="1"/>
  <c r="L210" i="1" s="1"/>
  <c r="K219" i="1"/>
  <c r="K224" i="1"/>
  <c r="K244" i="1"/>
  <c r="J244" i="1"/>
  <c r="Q243" i="1"/>
  <c r="Q245" i="1"/>
  <c r="P245" i="1"/>
  <c r="K246" i="1"/>
  <c r="L246" i="1" s="1"/>
  <c r="J261" i="1"/>
  <c r="K281" i="1"/>
  <c r="L281" i="1" s="1"/>
  <c r="J285" i="1"/>
  <c r="P171" i="1"/>
  <c r="K174" i="1"/>
  <c r="J195" i="1"/>
  <c r="L195" i="1" s="1"/>
  <c r="P196" i="1"/>
  <c r="K198" i="1"/>
  <c r="J198" i="1"/>
  <c r="K210" i="1"/>
  <c r="J246" i="1"/>
  <c r="Q249" i="1"/>
  <c r="P249" i="1"/>
  <c r="K252" i="1"/>
  <c r="J252" i="1"/>
  <c r="L252" i="1" s="1"/>
  <c r="P254" i="1"/>
  <c r="K285" i="1"/>
  <c r="K123" i="1"/>
  <c r="J152" i="1"/>
  <c r="P168" i="1"/>
  <c r="Q171" i="1"/>
  <c r="L174" i="1"/>
  <c r="K195" i="1"/>
  <c r="J271" i="1"/>
  <c r="J119" i="1"/>
  <c r="L119" i="1" s="1"/>
  <c r="L123" i="1"/>
  <c r="K152" i="1"/>
  <c r="Q154" i="1"/>
  <c r="K250" i="1"/>
  <c r="L250" i="1" s="1"/>
  <c r="K271" i="1"/>
  <c r="L271" i="1" s="1"/>
  <c r="Q277" i="1"/>
  <c r="P277" i="1"/>
  <c r="K147" i="1"/>
  <c r="M152" i="1"/>
  <c r="P205" i="1"/>
  <c r="L206" i="1"/>
  <c r="P226" i="1"/>
  <c r="P275" i="1"/>
  <c r="J145" i="1"/>
  <c r="K181" i="1"/>
  <c r="J181" i="1"/>
  <c r="J194" i="1"/>
  <c r="J206" i="1"/>
  <c r="P213" i="1"/>
  <c r="P229" i="1"/>
  <c r="Q229" i="1"/>
  <c r="J237" i="1"/>
  <c r="P119" i="1"/>
  <c r="K145" i="1"/>
  <c r="P152" i="1"/>
  <c r="K175" i="1"/>
  <c r="J175" i="1"/>
  <c r="L175" i="1" s="1"/>
  <c r="K194" i="1"/>
  <c r="K206" i="1"/>
  <c r="K237" i="1"/>
  <c r="P273" i="1"/>
  <c r="Q273" i="1"/>
  <c r="K164" i="1"/>
  <c r="L164" i="1" s="1"/>
  <c r="P181" i="1"/>
  <c r="M194" i="1"/>
  <c r="P200" i="1"/>
  <c r="P206" i="1"/>
  <c r="P209" i="1"/>
  <c r="Q222" i="1"/>
  <c r="K223" i="1"/>
  <c r="J223" i="1"/>
  <c r="K230" i="1"/>
  <c r="L230" i="1" s="1"/>
  <c r="K247" i="1"/>
  <c r="L247" i="1" s="1"/>
  <c r="K264" i="1"/>
  <c r="L264" i="1" s="1"/>
  <c r="J274" i="1"/>
  <c r="L274" i="1" s="1"/>
  <c r="Q266" i="1"/>
  <c r="M267" i="1"/>
  <c r="K267" i="1"/>
  <c r="J267" i="1"/>
  <c r="Q225" i="1"/>
  <c r="Q235" i="1"/>
  <c r="P235" i="1"/>
  <c r="L259" i="1"/>
  <c r="K259" i="1"/>
  <c r="J263" i="1"/>
  <c r="Q269" i="1"/>
  <c r="P271" i="1"/>
  <c r="K263" i="1"/>
  <c r="L263" i="1" s="1"/>
  <c r="K273" i="1"/>
  <c r="L273" i="1" s="1"/>
  <c r="K280" i="1"/>
  <c r="Q279" i="1"/>
  <c r="Q208" i="1"/>
  <c r="K226" i="1"/>
  <c r="L226" i="1" s="1"/>
  <c r="K236" i="1"/>
  <c r="L236" i="1" s="1"/>
  <c r="K242" i="1"/>
  <c r="J242" i="1"/>
  <c r="L242" i="1" s="1"/>
  <c r="P246" i="1"/>
  <c r="P256" i="1"/>
  <c r="K270" i="1"/>
  <c r="L270" i="1" s="1"/>
  <c r="J273" i="1"/>
  <c r="J280" i="1"/>
  <c r="L280" i="1" s="1"/>
  <c r="Q286" i="1"/>
  <c r="K229" i="1"/>
  <c r="P236" i="1"/>
  <c r="Q261" i="1"/>
  <c r="P261" i="1"/>
  <c r="K204" i="1"/>
  <c r="J204" i="1"/>
  <c r="L204" i="1" s="1"/>
  <c r="K214" i="1"/>
  <c r="L214" i="1" s="1"/>
  <c r="K218" i="1"/>
  <c r="P217" i="1"/>
  <c r="Q224" i="1"/>
  <c r="P224" i="1"/>
  <c r="J229" i="1"/>
  <c r="P242" i="1"/>
  <c r="J245" i="1"/>
  <c r="J251" i="1"/>
  <c r="P252" i="1"/>
  <c r="J262" i="1"/>
  <c r="L262" i="1" s="1"/>
  <c r="Q268" i="1"/>
  <c r="P268" i="1"/>
  <c r="P276" i="1"/>
  <c r="J287" i="1"/>
  <c r="L287" i="1" s="1"/>
  <c r="Q288" i="1"/>
  <c r="Q289" i="1"/>
  <c r="K289" i="1"/>
  <c r="J192" i="1"/>
  <c r="L192" i="1" s="1"/>
  <c r="Q207" i="1"/>
  <c r="P207" i="1"/>
  <c r="L209" i="1"/>
  <c r="J218" i="1"/>
  <c r="P222" i="1"/>
  <c r="J225" i="1"/>
  <c r="K235" i="1"/>
  <c r="P240" i="1"/>
  <c r="K245" i="1"/>
  <c r="K251" i="1"/>
  <c r="K262" i="1"/>
  <c r="J269" i="1"/>
  <c r="K287" i="1"/>
  <c r="J289" i="1"/>
  <c r="L289" i="1" s="1"/>
  <c r="K192" i="1"/>
  <c r="J208" i="1"/>
  <c r="P218" i="1"/>
  <c r="K225" i="1"/>
  <c r="P232" i="1"/>
  <c r="J235" i="1"/>
  <c r="Q237" i="1"/>
  <c r="P237" i="1"/>
  <c r="L245" i="1"/>
  <c r="K269" i="1"/>
  <c r="Q274" i="1"/>
  <c r="J282" i="1"/>
  <c r="L282" i="1" s="1"/>
  <c r="K208" i="1"/>
  <c r="J238" i="1"/>
  <c r="L238" i="1" s="1"/>
  <c r="K258" i="1"/>
  <c r="J258" i="1"/>
  <c r="L258" i="1" s="1"/>
  <c r="P262" i="1"/>
  <c r="L269" i="1"/>
  <c r="J275" i="1"/>
  <c r="L275" i="1" s="1"/>
  <c r="Q287" i="1"/>
  <c r="P287" i="1"/>
  <c r="K217" i="1"/>
  <c r="J217" i="1"/>
  <c r="Q239" i="1"/>
  <c r="K279" i="1"/>
  <c r="J279" i="1"/>
  <c r="Q283" i="1"/>
  <c r="Q265" i="1"/>
  <c r="P289" i="1"/>
  <c r="K234" i="1"/>
  <c r="J234" i="1"/>
  <c r="L234" i="1" s="1"/>
  <c r="K243" i="1"/>
  <c r="L243" i="1" s="1"/>
  <c r="P244" i="1"/>
  <c r="J249" i="1"/>
  <c r="L249" i="1" s="1"/>
  <c r="J260" i="1"/>
  <c r="L260" i="1" s="1"/>
  <c r="J266" i="1"/>
  <c r="L266" i="1" s="1"/>
  <c r="J272" i="1"/>
  <c r="L272" i="1" s="1"/>
  <c r="K284" i="1"/>
  <c r="L284" i="1" s="1"/>
  <c r="P285" i="1"/>
  <c r="K288" i="1"/>
  <c r="L288" i="1" s="1"/>
  <c r="Q247" i="1"/>
  <c r="Q264" i="1"/>
  <c r="Q282" i="1"/>
  <c r="P282" i="1"/>
  <c r="M170" i="2" l="1"/>
  <c r="M159" i="2"/>
  <c r="M142" i="2"/>
  <c r="M134" i="2"/>
  <c r="M108" i="2"/>
  <c r="M70" i="2"/>
  <c r="M67" i="2"/>
  <c r="M64" i="2"/>
  <c r="L108" i="1"/>
  <c r="L235" i="1"/>
  <c r="L223" i="1"/>
  <c r="L45" i="1"/>
  <c r="L173" i="1"/>
  <c r="L62" i="1"/>
  <c r="L69" i="1"/>
  <c r="L128" i="1"/>
  <c r="L82" i="1"/>
  <c r="L225" i="1"/>
  <c r="L229" i="1"/>
  <c r="L147" i="1"/>
  <c r="L285" i="1"/>
  <c r="L100" i="1"/>
  <c r="L4" i="1"/>
  <c r="L169" i="1"/>
  <c r="L121" i="1"/>
  <c r="L268" i="1"/>
  <c r="L7" i="1"/>
  <c r="L13" i="1"/>
  <c r="L44" i="1"/>
  <c r="L261" i="1"/>
  <c r="L137" i="1"/>
  <c r="L218" i="1"/>
  <c r="L211" i="1"/>
  <c r="L68" i="1"/>
  <c r="L24" i="1"/>
  <c r="L79" i="1"/>
  <c r="L10" i="1"/>
  <c r="L39" i="1"/>
  <c r="L159" i="1"/>
  <c r="L3" i="1"/>
  <c r="L58" i="1"/>
  <c r="M175" i="2"/>
  <c r="L110" i="1"/>
  <c r="L166" i="1"/>
  <c r="L267" i="1"/>
  <c r="L180" i="1"/>
  <c r="L130" i="1"/>
  <c r="L63" i="1"/>
  <c r="L168" i="1"/>
  <c r="L18" i="1"/>
  <c r="L251" i="1"/>
  <c r="L181" i="1"/>
  <c r="L244" i="1"/>
  <c r="L17" i="1"/>
  <c r="L134" i="1"/>
  <c r="L146" i="1"/>
  <c r="L132" i="1"/>
  <c r="L48" i="1"/>
  <c r="L30" i="1"/>
  <c r="M177" i="2"/>
  <c r="L73" i="1"/>
  <c r="L237" i="1"/>
  <c r="L170" i="1"/>
  <c r="L23" i="1"/>
  <c r="L194" i="1"/>
  <c r="L279" i="1"/>
  <c r="L145" i="1"/>
  <c r="L198" i="1"/>
  <c r="L47" i="1"/>
  <c r="L196" i="1"/>
  <c r="L96" i="1"/>
  <c r="L25" i="1"/>
  <c r="L53" i="1"/>
  <c r="L158" i="1"/>
  <c r="L56" i="1"/>
  <c r="L49" i="1"/>
  <c r="L151" i="1"/>
  <c r="L222" i="1"/>
  <c r="L217" i="1"/>
  <c r="L152" i="1"/>
  <c r="L208" i="1"/>
  <c r="L107" i="1"/>
  <c r="L67" i="1"/>
</calcChain>
</file>

<file path=xl/sharedStrings.xml><?xml version="1.0" encoding="utf-8"?>
<sst xmlns="http://schemas.openxmlformats.org/spreadsheetml/2006/main" count="933" uniqueCount="310">
  <si>
    <t>ნაკვეთის კოდი</t>
  </si>
  <si>
    <t>ნაკვეთის ფართობი (მ2)</t>
  </si>
  <si>
    <t>მიწის 1მ2 ფასი</t>
  </si>
  <si>
    <t>მიწის ღირებულება $</t>
  </si>
  <si>
    <t>სახლის სტილი</t>
  </si>
  <si>
    <t>სახლის ფართი (მ2)</t>
  </si>
  <si>
    <t>ობიექტის რეალიზაციის ფასი 1 მ2  $</t>
  </si>
  <si>
    <t>საინვესტიცო ღირებულება</t>
  </si>
  <si>
    <t>ბეი - რეზერვი $</t>
  </si>
  <si>
    <t>პირველი შენატანი 10%</t>
  </si>
  <si>
    <t>პოსტ-ჰენდოვერი (20%)</t>
  </si>
  <si>
    <t>ყოველთვიური (36 თვე)</t>
  </si>
  <si>
    <t>სააქციო შეთავაზება 8% გარანტირებული უკუგება 2 წელი</t>
  </si>
  <si>
    <t>დღიური ქირის ფასი ($)</t>
  </si>
  <si>
    <t>პასიური წლიური 45% დათვირთვით შემოსავალი</t>
  </si>
  <si>
    <t>პესიმისტური Rental ROI %</t>
  </si>
  <si>
    <t>პესიმისტური უკუგება (წელი)</t>
  </si>
  <si>
    <t>LA-1</t>
  </si>
  <si>
    <t>Modern Flat-Roof</t>
  </si>
  <si>
    <t>LA-3</t>
  </si>
  <si>
    <t>LA-5</t>
  </si>
  <si>
    <t>LA-7</t>
  </si>
  <si>
    <t>Barnhouse</t>
  </si>
  <si>
    <t>LA-9</t>
  </si>
  <si>
    <t>LA-11</t>
  </si>
  <si>
    <t>LA-13</t>
  </si>
  <si>
    <t>LA-15</t>
  </si>
  <si>
    <t>LA-17</t>
  </si>
  <si>
    <t>LA-19</t>
  </si>
  <si>
    <t>LA-21</t>
  </si>
  <si>
    <t>LA-23</t>
  </si>
  <si>
    <t>LA-25</t>
  </si>
  <si>
    <t>LA-27</t>
  </si>
  <si>
    <t>LA-29</t>
  </si>
  <si>
    <t>LA-31</t>
  </si>
  <si>
    <t>LA-33</t>
  </si>
  <si>
    <t>LA-35</t>
  </si>
  <si>
    <t>LA-37</t>
  </si>
  <si>
    <t>LA-39</t>
  </si>
  <si>
    <t>LA-41</t>
  </si>
  <si>
    <t>A-Frame</t>
  </si>
  <si>
    <t>LA-43</t>
  </si>
  <si>
    <t>LA-45</t>
  </si>
  <si>
    <t>LA-47</t>
  </si>
  <si>
    <t>LA-49</t>
  </si>
  <si>
    <t>LA-51</t>
  </si>
  <si>
    <t>LA-53</t>
  </si>
  <si>
    <t>LA-55</t>
  </si>
  <si>
    <t>LA-57</t>
  </si>
  <si>
    <t>LA-59</t>
  </si>
  <si>
    <t>LA-61</t>
  </si>
  <si>
    <t>LA-63</t>
  </si>
  <si>
    <t>LA-65</t>
  </si>
  <si>
    <t>LA-67</t>
  </si>
  <si>
    <t>LA-69</t>
  </si>
  <si>
    <t>LA-71</t>
  </si>
  <si>
    <t>LA-73</t>
  </si>
  <si>
    <t>LA-75</t>
  </si>
  <si>
    <t>LA-77</t>
  </si>
  <si>
    <t>LA-79</t>
  </si>
  <si>
    <t>LA-81</t>
  </si>
  <si>
    <t>LA-83</t>
  </si>
  <si>
    <t>LA-85</t>
  </si>
  <si>
    <t>LA-87</t>
  </si>
  <si>
    <t>LA-89</t>
  </si>
  <si>
    <t>LA-91</t>
  </si>
  <si>
    <t>LA-93</t>
  </si>
  <si>
    <t>LA-95</t>
  </si>
  <si>
    <t>კანიონის პირის მეორე ზოლი</t>
  </si>
  <si>
    <t>LA-2</t>
  </si>
  <si>
    <t>Barn_145</t>
  </si>
  <si>
    <t>LA-4</t>
  </si>
  <si>
    <t>Barn_85</t>
  </si>
  <si>
    <t>LA-6</t>
  </si>
  <si>
    <t>Barn_115</t>
  </si>
  <si>
    <t>LA-8</t>
  </si>
  <si>
    <t>LA-10</t>
  </si>
  <si>
    <t>LA-12</t>
  </si>
  <si>
    <t>LA-14</t>
  </si>
  <si>
    <t>LA-16</t>
  </si>
  <si>
    <t>LA-18</t>
  </si>
  <si>
    <t>LA-20</t>
  </si>
  <si>
    <t>LA-22</t>
  </si>
  <si>
    <t>LA-24</t>
  </si>
  <si>
    <t>LA-26</t>
  </si>
  <si>
    <t>LA-28</t>
  </si>
  <si>
    <t>Barn_55</t>
  </si>
  <si>
    <t>LA-30</t>
  </si>
  <si>
    <t>LA-32</t>
  </si>
  <si>
    <t>LA-34</t>
  </si>
  <si>
    <t>LA-36</t>
  </si>
  <si>
    <t>LA-38</t>
  </si>
  <si>
    <t>LA-40</t>
  </si>
  <si>
    <t>LA-42</t>
  </si>
  <si>
    <t>LA-44</t>
  </si>
  <si>
    <t>LA-46</t>
  </si>
  <si>
    <t>LA-48</t>
  </si>
  <si>
    <t>LA-50</t>
  </si>
  <si>
    <t>LA-52</t>
  </si>
  <si>
    <t>LA-54</t>
  </si>
  <si>
    <t>LA-56</t>
  </si>
  <si>
    <t>LA-58</t>
  </si>
  <si>
    <t>LA-60</t>
  </si>
  <si>
    <t>LA-62</t>
  </si>
  <si>
    <t>LA-64</t>
  </si>
  <si>
    <t>LA-66</t>
  </si>
  <si>
    <t>LA-68</t>
  </si>
  <si>
    <t>LA-70</t>
  </si>
  <si>
    <t>LA-72</t>
  </si>
  <si>
    <t>LA-74</t>
  </si>
  <si>
    <t>LA-76</t>
  </si>
  <si>
    <t>LA-78</t>
  </si>
  <si>
    <t>LA-80</t>
  </si>
  <si>
    <t>LA-82</t>
  </si>
  <si>
    <t>LA-84</t>
  </si>
  <si>
    <t>LA-86</t>
  </si>
  <si>
    <t>LA-88</t>
  </si>
  <si>
    <t>ველის უბანი</t>
  </si>
  <si>
    <t>LB-1</t>
  </si>
  <si>
    <t>LB-3</t>
  </si>
  <si>
    <t>LB-5</t>
  </si>
  <si>
    <t>LB-7</t>
  </si>
  <si>
    <t>LB-9</t>
  </si>
  <si>
    <t>LB-11</t>
  </si>
  <si>
    <t>LB-13</t>
  </si>
  <si>
    <t>LB-15</t>
  </si>
  <si>
    <t>LB-17</t>
  </si>
  <si>
    <t>LB-19</t>
  </si>
  <si>
    <t>LB-21</t>
  </si>
  <si>
    <t>LB-23</t>
  </si>
  <si>
    <t>LB-25</t>
  </si>
  <si>
    <t>LC-1</t>
  </si>
  <si>
    <t>LC-3</t>
  </si>
  <si>
    <t>LC-5</t>
  </si>
  <si>
    <t>LC-7</t>
  </si>
  <si>
    <t>LC-9</t>
  </si>
  <si>
    <t>LC-11</t>
  </si>
  <si>
    <t>LC-13</t>
  </si>
  <si>
    <t>LC-15</t>
  </si>
  <si>
    <t>LC-17</t>
  </si>
  <si>
    <t>LC-19</t>
  </si>
  <si>
    <t>LC-21</t>
  </si>
  <si>
    <t>LC-23</t>
  </si>
  <si>
    <t>LC-25</t>
  </si>
  <si>
    <t>LC-27</t>
  </si>
  <si>
    <t>LC-29</t>
  </si>
  <si>
    <t>LC-31</t>
  </si>
  <si>
    <t>LC-33</t>
  </si>
  <si>
    <t>LC-35</t>
  </si>
  <si>
    <t>LC-37</t>
  </si>
  <si>
    <t>LC-39</t>
  </si>
  <si>
    <t>LC-41</t>
  </si>
  <si>
    <t>LC-43</t>
  </si>
  <si>
    <t>LC-45</t>
  </si>
  <si>
    <t>LC-47</t>
  </si>
  <si>
    <t>LC-49</t>
  </si>
  <si>
    <t>LC-51</t>
  </si>
  <si>
    <t>LC-53</t>
  </si>
  <si>
    <t>LC-55</t>
  </si>
  <si>
    <t>LC-57</t>
  </si>
  <si>
    <t>LC-59</t>
  </si>
  <si>
    <t>LC-61</t>
  </si>
  <si>
    <t>LC-63</t>
  </si>
  <si>
    <t>LC-65</t>
  </si>
  <si>
    <t>LD-1</t>
  </si>
  <si>
    <t>LD-3</t>
  </si>
  <si>
    <t>ველის და ხეობის ზონა</t>
  </si>
  <si>
    <t>LB-2</t>
  </si>
  <si>
    <t>LB-4</t>
  </si>
  <si>
    <t>LB-6</t>
  </si>
  <si>
    <t>LB-8</t>
  </si>
  <si>
    <t>LB-10</t>
  </si>
  <si>
    <t>LB-12</t>
  </si>
  <si>
    <t>LB-14</t>
  </si>
  <si>
    <t>LB-16</t>
  </si>
  <si>
    <t>LC-2</t>
  </si>
  <si>
    <t>LC-4</t>
  </si>
  <si>
    <t>LC-6</t>
  </si>
  <si>
    <t>LC-8</t>
  </si>
  <si>
    <t>LC-10</t>
  </si>
  <si>
    <t>LC-12</t>
  </si>
  <si>
    <t>LC-14</t>
  </si>
  <si>
    <t>LC-16</t>
  </si>
  <si>
    <t>LC-18</t>
  </si>
  <si>
    <t>LC-20</t>
  </si>
  <si>
    <t>LC-22</t>
  </si>
  <si>
    <t>LC-24</t>
  </si>
  <si>
    <t>LC-26</t>
  </si>
  <si>
    <t>LC-28</t>
  </si>
  <si>
    <t>LC-30</t>
  </si>
  <si>
    <t>LC-32</t>
  </si>
  <si>
    <t>LD-2</t>
  </si>
  <si>
    <t>LD-4</t>
  </si>
  <si>
    <t>LD-6</t>
  </si>
  <si>
    <t>LD-8</t>
  </si>
  <si>
    <t>LD-10</t>
  </si>
  <si>
    <t>LD-12</t>
  </si>
  <si>
    <t>LD-14</t>
  </si>
  <si>
    <t>აპარტ ოტელის ნომერი</t>
  </si>
  <si>
    <t>დღიური ფასი ($)</t>
  </si>
  <si>
    <t xml:space="preserve">ალტერნატიული შეთავაზება </t>
  </si>
  <si>
    <t>პესიური წლიური წმინდა მოგება</t>
  </si>
  <si>
    <t>პესიმისტურიუკუგება (წელი)</t>
  </si>
  <si>
    <t>AH-F1-01</t>
  </si>
  <si>
    <t>2 x Barn_55 (მაღალი ამონაგები)</t>
  </si>
  <si>
    <t>AH-F1-02</t>
  </si>
  <si>
    <t>AH-F1-03</t>
  </si>
  <si>
    <t>AH-F1-04</t>
  </si>
  <si>
    <t>Modern Flat-Roof (პრემიუმ დიზაინი)</t>
  </si>
  <si>
    <t>AH-F1-05</t>
  </si>
  <si>
    <t>AH-F1-06</t>
  </si>
  <si>
    <t>AH-F1-07</t>
  </si>
  <si>
    <t>AH-F1-08</t>
  </si>
  <si>
    <t>AH-F1-09</t>
  </si>
  <si>
    <t>AH-F1-10</t>
  </si>
  <si>
    <t>A_55 (ეკონომ არჩევანი)</t>
  </si>
  <si>
    <t>AH-F1-11</t>
  </si>
  <si>
    <t>AH-F1-12</t>
  </si>
  <si>
    <t>AH-F1-13</t>
  </si>
  <si>
    <t>AH-F1-14</t>
  </si>
  <si>
    <t>AH-F1-15</t>
  </si>
  <si>
    <t>AH-F1-16</t>
  </si>
  <si>
    <t>AH-F1-17</t>
  </si>
  <si>
    <t>AH-F1-18</t>
  </si>
  <si>
    <t>AH-F1-19</t>
  </si>
  <si>
    <t>AH-F1-20</t>
  </si>
  <si>
    <t>AH-F1-21</t>
  </si>
  <si>
    <t>Barnhouse (კომფორტისთვის)</t>
  </si>
  <si>
    <t>AH-F1-22</t>
  </si>
  <si>
    <t>AH-F1-23</t>
  </si>
  <si>
    <t>AH-F1-24</t>
  </si>
  <si>
    <t>AH-F1-25</t>
  </si>
  <si>
    <t>AH-F1-26</t>
  </si>
  <si>
    <t>AH-F1-27</t>
  </si>
  <si>
    <t>AH-F1-28</t>
  </si>
  <si>
    <t>AH-F1-29</t>
  </si>
  <si>
    <t>AH-F1-30</t>
  </si>
  <si>
    <t>AH-F2-31</t>
  </si>
  <si>
    <t>AH-F2-32</t>
  </si>
  <si>
    <t>AH-F2-33</t>
  </si>
  <si>
    <t>AH-F2-34</t>
  </si>
  <si>
    <t>AH-F2-35</t>
  </si>
  <si>
    <t>AH-F2-36</t>
  </si>
  <si>
    <t>AH-F2-37</t>
  </si>
  <si>
    <t>AH-F2-38</t>
  </si>
  <si>
    <t>AH-F2-39</t>
  </si>
  <si>
    <t>AH-F2-40</t>
  </si>
  <si>
    <t>AH-F2-41</t>
  </si>
  <si>
    <t>AH-F2-42</t>
  </si>
  <si>
    <t>AH-F2-43</t>
  </si>
  <si>
    <t>AH-F2-44</t>
  </si>
  <si>
    <t>AH-F2-45</t>
  </si>
  <si>
    <t>AH-F2-46</t>
  </si>
  <si>
    <t>AH-F2-47</t>
  </si>
  <si>
    <t>AH-F2-48</t>
  </si>
  <si>
    <t>AH-F2-49</t>
  </si>
  <si>
    <t>AH-F2-50</t>
  </si>
  <si>
    <t>AH-F2-51</t>
  </si>
  <si>
    <t>AH-F2-52</t>
  </si>
  <si>
    <t>AH-F2-53</t>
  </si>
  <si>
    <t>AH-F2-54</t>
  </si>
  <si>
    <t>AH-F2-55</t>
  </si>
  <si>
    <t>AH-F2-56</t>
  </si>
  <si>
    <t>AH-F2-57</t>
  </si>
  <si>
    <t>AH-F2-58</t>
  </si>
  <si>
    <t>AH-F2-59</t>
  </si>
  <si>
    <t>AH-F2-60</t>
  </si>
  <si>
    <t>AH-F3-61</t>
  </si>
  <si>
    <t>AH-F3-62</t>
  </si>
  <si>
    <t>AH-F3-63</t>
  </si>
  <si>
    <t>AH-F3-64</t>
  </si>
  <si>
    <t>AH-F3-65</t>
  </si>
  <si>
    <t>A-Frame (ინვესტიციისთვის)</t>
  </si>
  <si>
    <t>AH-F3-66</t>
  </si>
  <si>
    <t>AH-F3-67</t>
  </si>
  <si>
    <t>AH-F3-68</t>
  </si>
  <si>
    <t>AH-F3-69</t>
  </si>
  <si>
    <t>AH-F3-70</t>
  </si>
  <si>
    <t>AH-F3-71</t>
  </si>
  <si>
    <t>AH-F3-72</t>
  </si>
  <si>
    <t>AH-F3-73</t>
  </si>
  <si>
    <t>AH-F3-74</t>
  </si>
  <si>
    <t>AH-F3-75</t>
  </si>
  <si>
    <t>AH-F3-76</t>
  </si>
  <si>
    <t>AH-F3-77</t>
  </si>
  <si>
    <t>AH-F3-78</t>
  </si>
  <si>
    <t>AH-F3-79</t>
  </si>
  <si>
    <t>AH-F3-80</t>
  </si>
  <si>
    <t>AH-F3-81</t>
  </si>
  <si>
    <t>AH-F3-82</t>
  </si>
  <si>
    <t>AH-F3-83</t>
  </si>
  <si>
    <t>AH-F3-84</t>
  </si>
  <si>
    <t>AH-F3-85</t>
  </si>
  <si>
    <t>AH-F3-86</t>
  </si>
  <si>
    <t>AH-F3-87</t>
  </si>
  <si>
    <t>AH-F3-88</t>
  </si>
  <si>
    <t>AH-F3-89</t>
  </si>
  <si>
    <t>AH-F3-90</t>
  </si>
  <si>
    <t>AH-F3-91</t>
  </si>
  <si>
    <t>AH-F3-92</t>
  </si>
  <si>
    <t>AH-F3-93</t>
  </si>
  <si>
    <t>AH-F3-94</t>
  </si>
  <si>
    <t>AH-F3-95</t>
  </si>
  <si>
    <t>AH-F3-96</t>
  </si>
  <si>
    <t>AH-F3-97</t>
  </si>
  <si>
    <t>AH-F3-98</t>
  </si>
  <si>
    <t>AH-F3-99</t>
  </si>
  <si>
    <t>AH-F3-100</t>
  </si>
  <si>
    <t xml:space="preserve">Modern Flat-Roof </t>
  </si>
  <si>
    <t xml:space="preserve">Barnhouse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</si>
</sst>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b/>
      <sz val="11"/>
      <color theme="1"/>
      <name val="Sylfaen"/>
      <family val="1"/>
      <scheme val="minor"/>
    </font>
    <font>
      <sz val="11"/>
      <color rgb="FFFF0000"/>
      <name val="Sylfaen"/>
      <family val="2"/>
      <scheme val="minor"/>
    </font>
    <font>
      <sz val="11"/>
      <name val="Sylfaen"/>
      <family val="2"/>
      <scheme val="minor"/>
    </font>
    <font>
      <b/>
      <sz val="11"/>
      <color rgb="FFFF0000"/>
      <name val="Sylfaen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Sylfaen"/>
      <family val="1"/>
      <scheme val="minor"/>
    </font>
    <font>
      <sz val="11"/>
      <color theme="1"/>
      <name val="Sylfaen"/>
      <family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9" borderId="2" xfId="0" applyNumberFormat="1" applyFont="1" applyFill="1" applyBorder="1" applyAlignment="1">
      <alignment horizontal="center"/>
    </xf>
    <xf numFmtId="0" fontId="3" fillId="0" borderId="2" xfId="0" applyFont="1" applyBorder="1"/>
    <xf numFmtId="164" fontId="3" fillId="7" borderId="2" xfId="0" applyNumberFormat="1" applyFont="1" applyFill="1" applyBorder="1" applyAlignment="1">
      <alignment horizontal="center"/>
    </xf>
    <xf numFmtId="164" fontId="3" fillId="8" borderId="3" xfId="0" applyNumberFormat="1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0" fontId="0" fillId="0" borderId="2" xfId="0" applyBorder="1"/>
    <xf numFmtId="164" fontId="0" fillId="7" borderId="2" xfId="0" applyNumberForma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3" fillId="9" borderId="0" xfId="0" applyNumberFormat="1" applyFont="1" applyFill="1" applyAlignment="1">
      <alignment horizontal="center"/>
    </xf>
    <xf numFmtId="0" fontId="3" fillId="0" borderId="0" xfId="0" applyFont="1"/>
    <xf numFmtId="0" fontId="3" fillId="0" borderId="5" xfId="0" applyFont="1" applyBorder="1"/>
    <xf numFmtId="164" fontId="3" fillId="7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8" borderId="0" xfId="0" applyFill="1" applyAlignment="1">
      <alignment horizontal="center"/>
    </xf>
    <xf numFmtId="0" fontId="1" fillId="8" borderId="6" xfId="0" applyFont="1" applyFill="1" applyBorder="1" applyAlignment="1">
      <alignment horizontal="center" wrapText="1"/>
    </xf>
    <xf numFmtId="0" fontId="3" fillId="10" borderId="2" xfId="0" applyFont="1" applyFill="1" applyBorder="1"/>
    <xf numFmtId="0" fontId="3" fillId="10" borderId="2" xfId="0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164" fontId="3" fillId="8" borderId="6" xfId="0" applyNumberFormat="1" applyFont="1" applyFill="1" applyBorder="1" applyAlignment="1">
      <alignment horizontal="center"/>
    </xf>
    <xf numFmtId="0" fontId="0" fillId="10" borderId="2" xfId="0" applyFill="1" applyBorder="1"/>
    <xf numFmtId="164" fontId="0" fillId="8" borderId="2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0" fontId="4" fillId="10" borderId="2" xfId="0" applyFont="1" applyFill="1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10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5" xfId="0" applyBorder="1"/>
    <xf numFmtId="164" fontId="0" fillId="8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8" borderId="0" xfId="0" applyFill="1"/>
    <xf numFmtId="0" fontId="0" fillId="0" borderId="0" xfId="0" applyAlignment="1">
      <alignment wrapText="1"/>
    </xf>
    <xf numFmtId="0" fontId="3" fillId="10" borderId="0" xfId="0" applyFont="1" applyFill="1"/>
    <xf numFmtId="0" fontId="4" fillId="10" borderId="0" xfId="0" applyFont="1" applyFill="1"/>
    <xf numFmtId="164" fontId="0" fillId="0" borderId="0" xfId="0" applyNumberFormat="1"/>
    <xf numFmtId="0" fontId="1" fillId="0" borderId="2" xfId="0" applyFont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right" wrapText="1"/>
    </xf>
    <xf numFmtId="0" fontId="6" fillId="10" borderId="9" xfId="0" applyFont="1" applyFill="1" applyBorder="1" applyAlignment="1">
      <alignment horizontal="right" wrapText="1"/>
    </xf>
    <xf numFmtId="0" fontId="6" fillId="10" borderId="9" xfId="0" applyFont="1" applyFill="1" applyBorder="1" applyAlignment="1">
      <alignment wrapText="1"/>
    </xf>
    <xf numFmtId="0" fontId="4" fillId="0" borderId="0" xfId="0" applyFont="1"/>
    <xf numFmtId="164" fontId="3" fillId="7" borderId="0" xfId="0" applyNumberFormat="1" applyFont="1" applyFill="1"/>
    <xf numFmtId="164" fontId="3" fillId="8" borderId="0" xfId="0" applyNumberFormat="1" applyFont="1" applyFill="1"/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7" fillId="0" borderId="9" xfId="0" applyFont="1" applyBorder="1" applyAlignment="1">
      <alignment wrapText="1"/>
    </xf>
    <xf numFmtId="0" fontId="7" fillId="0" borderId="9" xfId="0" applyFont="1" applyBorder="1" applyAlignment="1">
      <alignment horizontal="right" wrapText="1"/>
    </xf>
    <xf numFmtId="0" fontId="8" fillId="10" borderId="9" xfId="0" applyFont="1" applyFill="1" applyBorder="1" applyAlignment="1">
      <alignment horizontal="right" wrapText="1"/>
    </xf>
    <xf numFmtId="0" fontId="7" fillId="10" borderId="9" xfId="0" applyFont="1" applyFill="1" applyBorder="1" applyAlignment="1">
      <alignment wrapText="1"/>
    </xf>
    <xf numFmtId="164" fontId="0" fillId="7" borderId="0" xfId="0" applyNumberFormat="1" applyFill="1"/>
    <xf numFmtId="164" fontId="0" fillId="8" borderId="0" xfId="0" applyNumberFormat="1" applyFill="1"/>
    <xf numFmtId="0" fontId="3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4" fillId="0" borderId="2" xfId="0" applyFont="1" applyBorder="1"/>
    <xf numFmtId="0" fontId="0" fillId="0" borderId="0" xfId="0" applyAlignment="1">
      <alignment vertical="center" wrapText="1"/>
    </xf>
    <xf numFmtId="0" fontId="0" fillId="0" borderId="6" xfId="0" applyBorder="1"/>
    <xf numFmtId="0" fontId="10" fillId="0" borderId="0" xfId="0" applyFont="1"/>
    <xf numFmtId="0" fontId="0" fillId="0" borderId="4" xfId="0" applyBorder="1"/>
    <xf numFmtId="0" fontId="2" fillId="7" borderId="0" xfId="0" applyFont="1" applyFill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8"/>
  <sheetViews>
    <sheetView topLeftCell="A283" zoomScale="90" zoomScaleNormal="90" workbookViewId="0">
      <selection activeCell="S189" sqref="S189:AK370"/>
    </sheetView>
  </sheetViews>
  <sheetFormatPr defaultRowHeight="14.4" x14ac:dyDescent="0.3"/>
  <cols>
    <col min="5" max="5" width="12.6640625" customWidth="1"/>
    <col min="7" max="7" width="10" customWidth="1"/>
    <col min="8" max="8" width="10.109375" customWidth="1"/>
    <col min="11" max="11" width="10.33203125" customWidth="1"/>
    <col min="13" max="13" width="11.6640625" customWidth="1"/>
    <col min="24" max="24" width="18.44140625" customWidth="1"/>
  </cols>
  <sheetData>
    <row r="1" spans="1:18" ht="115.2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" t="s">
        <v>13</v>
      </c>
      <c r="O1" s="1" t="s">
        <v>14</v>
      </c>
      <c r="P1" s="10" t="s">
        <v>15</v>
      </c>
      <c r="Q1" s="10" t="s">
        <v>16</v>
      </c>
      <c r="R1" s="11"/>
    </row>
    <row r="2" spans="1:18" ht="28.8" x14ac:dyDescent="0.3">
      <c r="A2" s="12" t="s">
        <v>17</v>
      </c>
      <c r="B2" s="12">
        <v>702.4</v>
      </c>
      <c r="C2" s="12">
        <v>120</v>
      </c>
      <c r="D2" s="12">
        <f>C2*B2</f>
        <v>84288</v>
      </c>
      <c r="E2" s="13" t="s">
        <v>18</v>
      </c>
      <c r="F2" s="12">
        <v>145</v>
      </c>
      <c r="G2" s="14">
        <v>2000</v>
      </c>
      <c r="H2" s="14">
        <f t="shared" ref="H2:H49" si="0">G2*F2+D2</f>
        <v>374288</v>
      </c>
      <c r="I2" s="12">
        <v>5000</v>
      </c>
      <c r="J2" s="15">
        <f>(H2*0.1)-I2</f>
        <v>32428.800000000003</v>
      </c>
      <c r="K2" s="16">
        <f>H2*0.2</f>
        <v>74857.600000000006</v>
      </c>
      <c r="L2" s="17">
        <f>(H2-I2-J2-K2)/36</f>
        <v>7277.8222222222221</v>
      </c>
      <c r="M2" s="18">
        <f>(H2*0.08)/12</f>
        <v>2495.2533333333336</v>
      </c>
      <c r="N2" s="19">
        <v>400</v>
      </c>
      <c r="O2" s="19">
        <f>(N2*365*0.45)*0.6</f>
        <v>39420</v>
      </c>
      <c r="P2" s="20">
        <f t="shared" ref="P2:P49" si="1">(O2/H2)*100</f>
        <v>10.531996751164877</v>
      </c>
      <c r="Q2" s="20">
        <f t="shared" ref="Q2:Q49" si="2">H2/O2</f>
        <v>9.4948756976154236</v>
      </c>
      <c r="R2" s="21"/>
    </row>
    <row r="3" spans="1:18" ht="28.8" x14ac:dyDescent="0.3">
      <c r="A3" s="12" t="s">
        <v>19</v>
      </c>
      <c r="B3" s="12">
        <v>683.2</v>
      </c>
      <c r="C3" s="12">
        <v>120</v>
      </c>
      <c r="D3" s="12">
        <f t="shared" ref="D3:D49" si="3">C3*B3</f>
        <v>81984</v>
      </c>
      <c r="E3" s="13" t="s">
        <v>18</v>
      </c>
      <c r="F3" s="12">
        <v>145</v>
      </c>
      <c r="G3" s="14">
        <v>2000</v>
      </c>
      <c r="H3" s="14">
        <f t="shared" si="0"/>
        <v>371984</v>
      </c>
      <c r="I3" s="12">
        <v>5000</v>
      </c>
      <c r="J3" s="15">
        <f t="shared" ref="J3:J43" si="4">(H3*0.1)-I3</f>
        <v>32198.400000000001</v>
      </c>
      <c r="K3" s="16">
        <f t="shared" ref="K3:K4" si="5">H3*0.2</f>
        <v>74396.800000000003</v>
      </c>
      <c r="L3" s="17">
        <f t="shared" ref="L3:L4" si="6">(H3-I3-J3-K3)/36</f>
        <v>7233.0222222222219</v>
      </c>
      <c r="M3" s="18">
        <f t="shared" ref="M3:M4" si="7">(H3*0.08)/12</f>
        <v>2479.8933333333334</v>
      </c>
      <c r="N3" s="19">
        <v>400</v>
      </c>
      <c r="O3" s="19">
        <f t="shared" ref="O3:O49" si="8">(N3*365*0.45)*0.6</f>
        <v>39420</v>
      </c>
      <c r="P3" s="20">
        <f t="shared" si="1"/>
        <v>10.597229988386598</v>
      </c>
      <c r="Q3" s="20">
        <f t="shared" si="2"/>
        <v>9.4364282090309484</v>
      </c>
      <c r="R3" s="22"/>
    </row>
    <row r="4" spans="1:18" ht="28.8" x14ac:dyDescent="0.3">
      <c r="A4" s="12" t="s">
        <v>20</v>
      </c>
      <c r="B4" s="12">
        <v>652.70000000000005</v>
      </c>
      <c r="C4" s="12">
        <v>120</v>
      </c>
      <c r="D4" s="12">
        <f t="shared" si="3"/>
        <v>78324</v>
      </c>
      <c r="E4" s="13" t="s">
        <v>18</v>
      </c>
      <c r="F4" s="12">
        <v>145</v>
      </c>
      <c r="G4" s="14">
        <v>2000</v>
      </c>
      <c r="H4" s="14">
        <f t="shared" si="0"/>
        <v>368324</v>
      </c>
      <c r="I4" s="12">
        <v>5000</v>
      </c>
      <c r="J4" s="15">
        <f t="shared" si="4"/>
        <v>31832.400000000001</v>
      </c>
      <c r="K4" s="16">
        <f t="shared" si="5"/>
        <v>73664.800000000003</v>
      </c>
      <c r="L4" s="17">
        <f t="shared" si="6"/>
        <v>7161.8555555555549</v>
      </c>
      <c r="M4" s="18">
        <f t="shared" si="7"/>
        <v>2455.4933333333333</v>
      </c>
      <c r="N4" s="19">
        <v>400</v>
      </c>
      <c r="O4" s="19">
        <f t="shared" si="8"/>
        <v>39420</v>
      </c>
      <c r="P4" s="20">
        <f t="shared" si="1"/>
        <v>10.702533638861437</v>
      </c>
      <c r="Q4" s="20">
        <f t="shared" si="2"/>
        <v>9.3435819381024867</v>
      </c>
      <c r="R4" s="22"/>
    </row>
    <row r="5" spans="1:18" x14ac:dyDescent="0.3">
      <c r="A5" s="23" t="s">
        <v>21</v>
      </c>
      <c r="B5" s="23">
        <v>558.9</v>
      </c>
      <c r="C5" s="23">
        <v>120</v>
      </c>
      <c r="D5" s="23">
        <f t="shared" si="3"/>
        <v>67068</v>
      </c>
      <c r="E5" s="24" t="s">
        <v>22</v>
      </c>
      <c r="F5" s="23">
        <v>115</v>
      </c>
      <c r="G5" s="25">
        <v>2000</v>
      </c>
      <c r="H5" s="26">
        <f t="shared" si="0"/>
        <v>297068</v>
      </c>
      <c r="I5" s="23">
        <v>5000</v>
      </c>
      <c r="J5" s="27">
        <f t="shared" si="4"/>
        <v>24706.800000000003</v>
      </c>
      <c r="K5" s="28">
        <f>H5*0.2</f>
        <v>59413.600000000006</v>
      </c>
      <c r="L5" s="29">
        <f>(H5-I5-J5-K5)/36</f>
        <v>5776.3222222222221</v>
      </c>
      <c r="M5" s="30"/>
      <c r="N5" s="31">
        <v>300</v>
      </c>
      <c r="O5" s="31">
        <f t="shared" si="8"/>
        <v>29565</v>
      </c>
      <c r="P5" s="32">
        <f t="shared" si="1"/>
        <v>9.9522668210645371</v>
      </c>
      <c r="Q5" s="32">
        <f t="shared" si="2"/>
        <v>10.04796211736851</v>
      </c>
      <c r="R5" s="33"/>
    </row>
    <row r="6" spans="1:18" x14ac:dyDescent="0.3">
      <c r="A6" s="23" t="s">
        <v>23</v>
      </c>
      <c r="B6" s="23">
        <v>561.5</v>
      </c>
      <c r="C6" s="23">
        <v>120</v>
      </c>
      <c r="D6" s="23">
        <f t="shared" si="3"/>
        <v>67380</v>
      </c>
      <c r="E6" s="24" t="s">
        <v>22</v>
      </c>
      <c r="F6" s="23">
        <v>115</v>
      </c>
      <c r="G6" s="25">
        <v>2000</v>
      </c>
      <c r="H6" s="26">
        <f t="shared" si="0"/>
        <v>297380</v>
      </c>
      <c r="I6" s="23">
        <v>5000</v>
      </c>
      <c r="J6" s="27">
        <f t="shared" si="4"/>
        <v>24738</v>
      </c>
      <c r="K6" s="28">
        <f>H6*0.2</f>
        <v>59476</v>
      </c>
      <c r="L6" s="29">
        <f>(H6-I6-J6-K6)/36</f>
        <v>5782.3888888888887</v>
      </c>
      <c r="M6" s="30"/>
      <c r="N6" s="31">
        <v>300</v>
      </c>
      <c r="O6" s="31">
        <f t="shared" si="8"/>
        <v>29565</v>
      </c>
      <c r="P6" s="32">
        <f t="shared" si="1"/>
        <v>9.9418252740601254</v>
      </c>
      <c r="Q6" s="32">
        <f t="shared" si="2"/>
        <v>10.058515136140707</v>
      </c>
      <c r="R6" s="33"/>
    </row>
    <row r="7" spans="1:18" ht="28.8" x14ac:dyDescent="0.3">
      <c r="A7" s="12" t="s">
        <v>24</v>
      </c>
      <c r="B7" s="12">
        <v>740.3</v>
      </c>
      <c r="C7" s="12">
        <v>120</v>
      </c>
      <c r="D7" s="12">
        <f t="shared" si="3"/>
        <v>88836</v>
      </c>
      <c r="E7" s="13" t="s">
        <v>18</v>
      </c>
      <c r="F7" s="12">
        <v>145</v>
      </c>
      <c r="G7" s="14">
        <v>2000</v>
      </c>
      <c r="H7" s="14">
        <f t="shared" si="0"/>
        <v>378836</v>
      </c>
      <c r="I7" s="12">
        <v>5000</v>
      </c>
      <c r="J7" s="15">
        <f>(H7*0.1)-I7</f>
        <v>32883.599999999999</v>
      </c>
      <c r="K7" s="16">
        <f>H7*0.2</f>
        <v>75767.199999999997</v>
      </c>
      <c r="L7" s="17">
        <f t="shared" ref="L7:L9" si="9">(H7-I7-J7-K7)/36</f>
        <v>7366.2555555555555</v>
      </c>
      <c r="M7" s="18">
        <f>(H7*0.08)/12</f>
        <v>2525.5733333333333</v>
      </c>
      <c r="N7" s="19">
        <v>400</v>
      </c>
      <c r="O7" s="19">
        <f t="shared" si="8"/>
        <v>39420</v>
      </c>
      <c r="P7" s="20">
        <f t="shared" si="1"/>
        <v>10.405558077901784</v>
      </c>
      <c r="Q7" s="20">
        <f t="shared" si="2"/>
        <v>9.6102486047691524</v>
      </c>
      <c r="R7" s="22"/>
    </row>
    <row r="8" spans="1:18" ht="28.8" x14ac:dyDescent="0.3">
      <c r="A8" s="12" t="s">
        <v>25</v>
      </c>
      <c r="B8" s="12">
        <v>953.6</v>
      </c>
      <c r="C8" s="12">
        <v>120</v>
      </c>
      <c r="D8" s="12">
        <f t="shared" si="3"/>
        <v>114432</v>
      </c>
      <c r="E8" s="13" t="s">
        <v>18</v>
      </c>
      <c r="F8" s="12">
        <v>145</v>
      </c>
      <c r="G8" s="14">
        <v>2000</v>
      </c>
      <c r="H8" s="14">
        <f t="shared" si="0"/>
        <v>404432</v>
      </c>
      <c r="I8" s="12">
        <v>5000</v>
      </c>
      <c r="J8" s="15">
        <f t="shared" ref="J8:J9" si="10">(H8*0.1)-I8</f>
        <v>35443.200000000004</v>
      </c>
      <c r="K8" s="16">
        <f t="shared" ref="K8:K9" si="11">H8*0.2</f>
        <v>80886.400000000009</v>
      </c>
      <c r="L8" s="17">
        <f t="shared" si="9"/>
        <v>7863.9555555555544</v>
      </c>
      <c r="M8" s="18">
        <f t="shared" ref="M8:M9" si="12">(H8*0.08)/12</f>
        <v>2696.2133333333336</v>
      </c>
      <c r="N8" s="19">
        <v>400</v>
      </c>
      <c r="O8" s="19">
        <f t="shared" si="8"/>
        <v>39420</v>
      </c>
      <c r="P8" s="20">
        <f t="shared" si="1"/>
        <v>9.7470032044942041</v>
      </c>
      <c r="Q8" s="20">
        <f t="shared" si="2"/>
        <v>10.259563673262303</v>
      </c>
      <c r="R8" s="22"/>
    </row>
    <row r="9" spans="1:18" ht="28.8" x14ac:dyDescent="0.3">
      <c r="A9" s="12" t="s">
        <v>26</v>
      </c>
      <c r="B9" s="12">
        <v>1084.0999999999999</v>
      </c>
      <c r="C9" s="12">
        <v>120</v>
      </c>
      <c r="D9" s="12">
        <f t="shared" si="3"/>
        <v>130091.99999999999</v>
      </c>
      <c r="E9" s="13" t="s">
        <v>18</v>
      </c>
      <c r="F9" s="12">
        <v>145</v>
      </c>
      <c r="G9" s="14">
        <v>2000</v>
      </c>
      <c r="H9" s="14">
        <f t="shared" si="0"/>
        <v>420092</v>
      </c>
      <c r="I9" s="12">
        <v>5000</v>
      </c>
      <c r="J9" s="15">
        <f t="shared" si="10"/>
        <v>37009.200000000004</v>
      </c>
      <c r="K9" s="16">
        <f t="shared" si="11"/>
        <v>84018.400000000009</v>
      </c>
      <c r="L9" s="17">
        <f t="shared" si="9"/>
        <v>8168.4555555555544</v>
      </c>
      <c r="M9" s="18">
        <f t="shared" si="12"/>
        <v>2800.6133333333332</v>
      </c>
      <c r="N9" s="19">
        <v>400</v>
      </c>
      <c r="O9" s="19">
        <f t="shared" si="8"/>
        <v>39420</v>
      </c>
      <c r="P9" s="20">
        <f t="shared" si="1"/>
        <v>9.3836588175923374</v>
      </c>
      <c r="Q9" s="20">
        <f t="shared" si="2"/>
        <v>10.656823947234907</v>
      </c>
      <c r="R9" s="22"/>
    </row>
    <row r="10" spans="1:18" x14ac:dyDescent="0.3">
      <c r="A10" s="23" t="s">
        <v>27</v>
      </c>
      <c r="B10" s="23">
        <v>503.7</v>
      </c>
      <c r="C10" s="23">
        <v>120</v>
      </c>
      <c r="D10" s="23">
        <f t="shared" si="3"/>
        <v>60444</v>
      </c>
      <c r="E10" s="24" t="s">
        <v>22</v>
      </c>
      <c r="F10" s="23">
        <v>115</v>
      </c>
      <c r="G10" s="25">
        <v>2000</v>
      </c>
      <c r="H10" s="26">
        <f t="shared" si="0"/>
        <v>290444</v>
      </c>
      <c r="I10" s="23">
        <v>5000</v>
      </c>
      <c r="J10" s="27">
        <f t="shared" si="4"/>
        <v>24044.400000000001</v>
      </c>
      <c r="K10" s="28">
        <f>H10*0.2</f>
        <v>58088.800000000003</v>
      </c>
      <c r="L10" s="29">
        <f>(H10-I10-J10-K10)/36</f>
        <v>5647.5222222222219</v>
      </c>
      <c r="M10" s="30"/>
      <c r="N10" s="31">
        <v>300</v>
      </c>
      <c r="O10" s="31">
        <f t="shared" si="8"/>
        <v>29565</v>
      </c>
      <c r="P10" s="32">
        <f t="shared" si="1"/>
        <v>10.179242814449601</v>
      </c>
      <c r="Q10" s="32">
        <f t="shared" si="2"/>
        <v>9.8239134111280233</v>
      </c>
      <c r="R10" s="33"/>
    </row>
    <row r="11" spans="1:18" x14ac:dyDescent="0.3">
      <c r="A11" s="23" t="s">
        <v>28</v>
      </c>
      <c r="B11" s="23">
        <v>413.4</v>
      </c>
      <c r="C11" s="23">
        <v>120</v>
      </c>
      <c r="D11" s="23">
        <f t="shared" si="3"/>
        <v>49608</v>
      </c>
      <c r="E11" s="24" t="s">
        <v>22</v>
      </c>
      <c r="F11" s="23">
        <v>85</v>
      </c>
      <c r="G11" s="25">
        <v>2000</v>
      </c>
      <c r="H11" s="26">
        <f t="shared" si="0"/>
        <v>219608</v>
      </c>
      <c r="I11" s="23">
        <v>5000</v>
      </c>
      <c r="J11" s="27">
        <f t="shared" si="4"/>
        <v>16960.800000000003</v>
      </c>
      <c r="K11" s="28">
        <f t="shared" ref="K11:K15" si="13">H11*0.2</f>
        <v>43921.600000000006</v>
      </c>
      <c r="L11" s="29">
        <f t="shared" ref="L11:L49" si="14">(H11-I11-J11-K11)/36</f>
        <v>4270.155555555556</v>
      </c>
      <c r="M11" s="30"/>
      <c r="N11" s="31">
        <v>250</v>
      </c>
      <c r="O11" s="31">
        <f t="shared" si="8"/>
        <v>24637.5</v>
      </c>
      <c r="P11" s="32">
        <f t="shared" si="1"/>
        <v>11.218853593676005</v>
      </c>
      <c r="Q11" s="32">
        <f t="shared" si="2"/>
        <v>8.9135667174023343</v>
      </c>
      <c r="R11" s="33"/>
    </row>
    <row r="12" spans="1:18" x14ac:dyDescent="0.3">
      <c r="A12" s="23" t="s">
        <v>29</v>
      </c>
      <c r="B12" s="23">
        <v>393</v>
      </c>
      <c r="C12" s="23">
        <v>120</v>
      </c>
      <c r="D12" s="23">
        <f t="shared" si="3"/>
        <v>47160</v>
      </c>
      <c r="E12" s="24" t="s">
        <v>22</v>
      </c>
      <c r="F12" s="23">
        <v>85</v>
      </c>
      <c r="G12" s="25">
        <v>2000</v>
      </c>
      <c r="H12" s="26">
        <f t="shared" si="0"/>
        <v>217160</v>
      </c>
      <c r="I12" s="23">
        <v>5000</v>
      </c>
      <c r="J12" s="27">
        <f t="shared" si="4"/>
        <v>16716</v>
      </c>
      <c r="K12" s="28">
        <f t="shared" si="13"/>
        <v>43432</v>
      </c>
      <c r="L12" s="29">
        <f t="shared" si="14"/>
        <v>4222.5555555555557</v>
      </c>
      <c r="M12" s="30"/>
      <c r="N12" s="31">
        <v>250</v>
      </c>
      <c r="O12" s="31">
        <f t="shared" si="8"/>
        <v>24637.5</v>
      </c>
      <c r="P12" s="32">
        <f t="shared" si="1"/>
        <v>11.345321421993001</v>
      </c>
      <c r="Q12" s="32">
        <f t="shared" si="2"/>
        <v>8.8142059868087266</v>
      </c>
      <c r="R12" s="33"/>
    </row>
    <row r="13" spans="1:18" x14ac:dyDescent="0.3">
      <c r="A13" s="23" t="s">
        <v>30</v>
      </c>
      <c r="B13" s="23">
        <v>404.7</v>
      </c>
      <c r="C13" s="23">
        <v>120</v>
      </c>
      <c r="D13" s="23">
        <f t="shared" si="3"/>
        <v>48564</v>
      </c>
      <c r="E13" s="24" t="s">
        <v>22</v>
      </c>
      <c r="F13" s="23">
        <v>85</v>
      </c>
      <c r="G13" s="25">
        <v>2000</v>
      </c>
      <c r="H13" s="26">
        <f t="shared" si="0"/>
        <v>218564</v>
      </c>
      <c r="I13" s="23">
        <v>5000</v>
      </c>
      <c r="J13" s="27">
        <f t="shared" si="4"/>
        <v>16856.400000000001</v>
      </c>
      <c r="K13" s="28">
        <f t="shared" si="13"/>
        <v>43712.800000000003</v>
      </c>
      <c r="L13" s="29">
        <f t="shared" si="14"/>
        <v>4249.8555555555549</v>
      </c>
      <c r="M13" s="30"/>
      <c r="N13" s="31">
        <v>250</v>
      </c>
      <c r="O13" s="31">
        <f t="shared" si="8"/>
        <v>24637.5</v>
      </c>
      <c r="P13" s="32">
        <f t="shared" si="1"/>
        <v>11.272441939203162</v>
      </c>
      <c r="Q13" s="32">
        <f t="shared" si="2"/>
        <v>8.8711922881785892</v>
      </c>
      <c r="R13" s="33"/>
    </row>
    <row r="14" spans="1:18" x14ac:dyDescent="0.3">
      <c r="A14" s="23" t="s">
        <v>31</v>
      </c>
      <c r="B14" s="23">
        <v>485.3</v>
      </c>
      <c r="C14" s="23">
        <v>120</v>
      </c>
      <c r="D14" s="23">
        <f t="shared" si="3"/>
        <v>58236</v>
      </c>
      <c r="E14" s="24" t="s">
        <v>22</v>
      </c>
      <c r="F14" s="23">
        <v>115</v>
      </c>
      <c r="G14" s="25">
        <v>2000</v>
      </c>
      <c r="H14" s="26">
        <f t="shared" si="0"/>
        <v>288236</v>
      </c>
      <c r="I14" s="23">
        <v>5000</v>
      </c>
      <c r="J14" s="27">
        <f t="shared" si="4"/>
        <v>23823.600000000002</v>
      </c>
      <c r="K14" s="28">
        <f t="shared" si="13"/>
        <v>57647.200000000004</v>
      </c>
      <c r="L14" s="29">
        <f t="shared" si="14"/>
        <v>5604.5888888888885</v>
      </c>
      <c r="M14" s="30"/>
      <c r="N14" s="31">
        <v>300</v>
      </c>
      <c r="O14" s="31">
        <f t="shared" si="8"/>
        <v>29565</v>
      </c>
      <c r="P14" s="32">
        <f t="shared" si="1"/>
        <v>10.257219778237278</v>
      </c>
      <c r="Q14" s="32">
        <f t="shared" si="2"/>
        <v>9.7492305090478606</v>
      </c>
      <c r="R14" s="33"/>
    </row>
    <row r="15" spans="1:18" x14ac:dyDescent="0.3">
      <c r="A15" s="23" t="s">
        <v>32</v>
      </c>
      <c r="B15" s="23">
        <v>479.7</v>
      </c>
      <c r="C15" s="23">
        <v>120</v>
      </c>
      <c r="D15" s="23">
        <f t="shared" si="3"/>
        <v>57564</v>
      </c>
      <c r="E15" s="24" t="s">
        <v>22</v>
      </c>
      <c r="F15" s="23">
        <v>115</v>
      </c>
      <c r="G15" s="25">
        <v>2000</v>
      </c>
      <c r="H15" s="26">
        <f t="shared" si="0"/>
        <v>287564</v>
      </c>
      <c r="I15" s="23">
        <v>5000</v>
      </c>
      <c r="J15" s="27">
        <f t="shared" si="4"/>
        <v>23756.400000000001</v>
      </c>
      <c r="K15" s="28">
        <f t="shared" si="13"/>
        <v>57512.800000000003</v>
      </c>
      <c r="L15" s="29">
        <f t="shared" si="14"/>
        <v>5591.5222222222219</v>
      </c>
      <c r="M15" s="30"/>
      <c r="N15" s="31">
        <v>300</v>
      </c>
      <c r="O15" s="31">
        <f t="shared" si="8"/>
        <v>29565</v>
      </c>
      <c r="P15" s="32">
        <f t="shared" si="1"/>
        <v>10.281189578667705</v>
      </c>
      <c r="Q15" s="32">
        <f t="shared" si="2"/>
        <v>9.7265009301538985</v>
      </c>
      <c r="R15" s="33"/>
    </row>
    <row r="16" spans="1:18" ht="28.8" x14ac:dyDescent="0.3">
      <c r="A16" s="12" t="s">
        <v>33</v>
      </c>
      <c r="B16" s="12">
        <v>652.9</v>
      </c>
      <c r="C16" s="12">
        <v>120</v>
      </c>
      <c r="D16" s="12">
        <f t="shared" si="3"/>
        <v>78348</v>
      </c>
      <c r="E16" s="13" t="s">
        <v>18</v>
      </c>
      <c r="F16" s="12">
        <v>145</v>
      </c>
      <c r="G16" s="14">
        <v>2000</v>
      </c>
      <c r="H16" s="14">
        <f t="shared" si="0"/>
        <v>368348</v>
      </c>
      <c r="I16" s="12">
        <v>5000</v>
      </c>
      <c r="J16" s="15">
        <f>(H16*0.1)-I16</f>
        <v>31834.800000000003</v>
      </c>
      <c r="K16" s="16">
        <f>H16*0.2</f>
        <v>73669.600000000006</v>
      </c>
      <c r="L16" s="17">
        <f t="shared" si="14"/>
        <v>7162.3222222222221</v>
      </c>
      <c r="M16" s="18">
        <f>(H16*0.08)/12</f>
        <v>2455.6533333333332</v>
      </c>
      <c r="N16" s="19">
        <v>400</v>
      </c>
      <c r="O16" s="19">
        <f t="shared" si="8"/>
        <v>39420</v>
      </c>
      <c r="P16" s="20">
        <f t="shared" si="1"/>
        <v>10.701836306970582</v>
      </c>
      <c r="Q16" s="20">
        <f t="shared" si="2"/>
        <v>9.344190766108575</v>
      </c>
      <c r="R16" s="22"/>
    </row>
    <row r="17" spans="1:18" x14ac:dyDescent="0.3">
      <c r="A17" s="23" t="s">
        <v>34</v>
      </c>
      <c r="B17" s="23">
        <v>513.9</v>
      </c>
      <c r="C17" s="23">
        <v>120</v>
      </c>
      <c r="D17" s="23">
        <f t="shared" si="3"/>
        <v>61668</v>
      </c>
      <c r="E17" s="24" t="s">
        <v>22</v>
      </c>
      <c r="F17" s="23">
        <v>115</v>
      </c>
      <c r="G17" s="25">
        <v>2000</v>
      </c>
      <c r="H17" s="26">
        <f t="shared" si="0"/>
        <v>291668</v>
      </c>
      <c r="I17" s="23">
        <v>5000</v>
      </c>
      <c r="J17" s="27">
        <f t="shared" si="4"/>
        <v>24166.800000000003</v>
      </c>
      <c r="K17" s="28">
        <f>H17*0.2</f>
        <v>58333.600000000006</v>
      </c>
      <c r="L17" s="29">
        <f t="shared" si="14"/>
        <v>5671.3222222222221</v>
      </c>
      <c r="M17" s="30"/>
      <c r="N17" s="31">
        <v>300</v>
      </c>
      <c r="O17" s="31">
        <f t="shared" si="8"/>
        <v>29565</v>
      </c>
      <c r="P17" s="32">
        <f t="shared" si="1"/>
        <v>10.136525090171016</v>
      </c>
      <c r="Q17" s="32">
        <f t="shared" si="2"/>
        <v>9.8653137155420261</v>
      </c>
      <c r="R17" s="33"/>
    </row>
    <row r="18" spans="1:18" x14ac:dyDescent="0.3">
      <c r="A18" s="23" t="s">
        <v>35</v>
      </c>
      <c r="B18" s="23">
        <v>451.8</v>
      </c>
      <c r="C18" s="23">
        <v>120</v>
      </c>
      <c r="D18" s="23">
        <f t="shared" si="3"/>
        <v>54216</v>
      </c>
      <c r="E18" s="24" t="s">
        <v>22</v>
      </c>
      <c r="F18" s="23">
        <v>115</v>
      </c>
      <c r="G18" s="25">
        <v>2000</v>
      </c>
      <c r="H18" s="26">
        <f t="shared" si="0"/>
        <v>284216</v>
      </c>
      <c r="I18" s="23">
        <v>5000</v>
      </c>
      <c r="J18" s="27">
        <f t="shared" si="4"/>
        <v>23421.600000000002</v>
      </c>
      <c r="K18" s="28">
        <f t="shared" ref="K18:K23" si="15">H18*0.2</f>
        <v>56843.200000000004</v>
      </c>
      <c r="L18" s="29">
        <f t="shared" si="14"/>
        <v>5526.4222222222215</v>
      </c>
      <c r="M18" s="30"/>
      <c r="N18" s="31">
        <v>300</v>
      </c>
      <c r="O18" s="31">
        <f t="shared" si="8"/>
        <v>29565</v>
      </c>
      <c r="P18" s="32">
        <f t="shared" si="1"/>
        <v>10.402299659413968</v>
      </c>
      <c r="Q18" s="32">
        <f t="shared" si="2"/>
        <v>9.6132589210214778</v>
      </c>
      <c r="R18" s="33"/>
    </row>
    <row r="19" spans="1:18" x14ac:dyDescent="0.3">
      <c r="A19" s="23" t="s">
        <v>36</v>
      </c>
      <c r="B19" s="23">
        <v>509</v>
      </c>
      <c r="C19" s="23">
        <v>120</v>
      </c>
      <c r="D19" s="23">
        <f t="shared" si="3"/>
        <v>61080</v>
      </c>
      <c r="E19" s="24" t="s">
        <v>22</v>
      </c>
      <c r="F19" s="23">
        <v>115</v>
      </c>
      <c r="G19" s="25">
        <v>2000</v>
      </c>
      <c r="H19" s="26">
        <f t="shared" si="0"/>
        <v>291080</v>
      </c>
      <c r="I19" s="23">
        <v>5000</v>
      </c>
      <c r="J19" s="27">
        <f t="shared" si="4"/>
        <v>24108</v>
      </c>
      <c r="K19" s="28">
        <f t="shared" si="15"/>
        <v>58216</v>
      </c>
      <c r="L19" s="29">
        <f t="shared" si="14"/>
        <v>5659.8888888888887</v>
      </c>
      <c r="M19" s="30"/>
      <c r="N19" s="31">
        <v>300</v>
      </c>
      <c r="O19" s="31">
        <f t="shared" si="8"/>
        <v>29565</v>
      </c>
      <c r="P19" s="32">
        <f t="shared" si="1"/>
        <v>10.157001511611927</v>
      </c>
      <c r="Q19" s="32">
        <f t="shared" si="2"/>
        <v>9.8454253340098088</v>
      </c>
      <c r="R19" s="33"/>
    </row>
    <row r="20" spans="1:18" x14ac:dyDescent="0.3">
      <c r="A20" s="23" t="s">
        <v>37</v>
      </c>
      <c r="B20" s="23">
        <v>464.4</v>
      </c>
      <c r="C20" s="23">
        <v>120</v>
      </c>
      <c r="D20" s="23">
        <f t="shared" si="3"/>
        <v>55728</v>
      </c>
      <c r="E20" s="24" t="s">
        <v>22</v>
      </c>
      <c r="F20" s="23">
        <v>115</v>
      </c>
      <c r="G20" s="25">
        <v>2000</v>
      </c>
      <c r="H20" s="26">
        <f t="shared" si="0"/>
        <v>285728</v>
      </c>
      <c r="I20" s="23">
        <v>5000</v>
      </c>
      <c r="J20" s="27">
        <f t="shared" si="4"/>
        <v>23572.800000000003</v>
      </c>
      <c r="K20" s="28">
        <f t="shared" si="15"/>
        <v>57145.600000000006</v>
      </c>
      <c r="L20" s="29">
        <f t="shared" si="14"/>
        <v>5555.8222222222221</v>
      </c>
      <c r="M20" s="30"/>
      <c r="N20" s="31">
        <v>300</v>
      </c>
      <c r="O20" s="31">
        <f t="shared" si="8"/>
        <v>29565</v>
      </c>
      <c r="P20" s="32">
        <f t="shared" si="1"/>
        <v>10.347253331840072</v>
      </c>
      <c r="Q20" s="32">
        <f t="shared" si="2"/>
        <v>9.6644004735328934</v>
      </c>
      <c r="R20" s="33"/>
    </row>
    <row r="21" spans="1:18" x14ac:dyDescent="0.3">
      <c r="A21" s="23" t="s">
        <v>38</v>
      </c>
      <c r="B21" s="23">
        <v>425.4</v>
      </c>
      <c r="C21" s="23">
        <v>120</v>
      </c>
      <c r="D21" s="23">
        <f t="shared" si="3"/>
        <v>51048</v>
      </c>
      <c r="E21" s="24" t="s">
        <v>22</v>
      </c>
      <c r="F21" s="23">
        <v>85</v>
      </c>
      <c r="G21" s="25">
        <v>2000</v>
      </c>
      <c r="H21" s="26">
        <f t="shared" si="0"/>
        <v>221048</v>
      </c>
      <c r="I21" s="23">
        <v>5000</v>
      </c>
      <c r="J21" s="27">
        <f t="shared" si="4"/>
        <v>17104.800000000003</v>
      </c>
      <c r="K21" s="28">
        <f t="shared" si="15"/>
        <v>44209.600000000006</v>
      </c>
      <c r="L21" s="29">
        <f t="shared" si="14"/>
        <v>4298.155555555556</v>
      </c>
      <c r="M21" s="30"/>
      <c r="N21" s="31">
        <v>250</v>
      </c>
      <c r="O21" s="31">
        <f t="shared" si="8"/>
        <v>24637.5</v>
      </c>
      <c r="P21" s="32">
        <f t="shared" si="1"/>
        <v>11.145769244688937</v>
      </c>
      <c r="Q21" s="32">
        <f t="shared" si="2"/>
        <v>8.9720142059868095</v>
      </c>
      <c r="R21" s="33"/>
    </row>
    <row r="22" spans="1:18" x14ac:dyDescent="0.3">
      <c r="A22" s="23" t="s">
        <v>39</v>
      </c>
      <c r="B22" s="23">
        <v>309</v>
      </c>
      <c r="C22" s="23">
        <v>120</v>
      </c>
      <c r="D22" s="23">
        <f t="shared" si="3"/>
        <v>37080</v>
      </c>
      <c r="E22" s="24" t="s">
        <v>40</v>
      </c>
      <c r="F22" s="23">
        <v>85</v>
      </c>
      <c r="G22" s="25">
        <v>2000</v>
      </c>
      <c r="H22" s="26">
        <f t="shared" si="0"/>
        <v>207080</v>
      </c>
      <c r="I22" s="23">
        <v>5000</v>
      </c>
      <c r="J22" s="27">
        <f t="shared" si="4"/>
        <v>15708</v>
      </c>
      <c r="K22" s="28">
        <f t="shared" si="15"/>
        <v>41416</v>
      </c>
      <c r="L22" s="29">
        <f t="shared" si="14"/>
        <v>4026.5555555555557</v>
      </c>
      <c r="M22" s="30"/>
      <c r="N22" s="31">
        <v>200</v>
      </c>
      <c r="O22" s="31">
        <f t="shared" si="8"/>
        <v>19710</v>
      </c>
      <c r="P22" s="32">
        <f t="shared" si="1"/>
        <v>9.5180606528877743</v>
      </c>
      <c r="Q22" s="32">
        <f t="shared" si="2"/>
        <v>10.506341958396753</v>
      </c>
      <c r="R22" s="33"/>
    </row>
    <row r="23" spans="1:18" x14ac:dyDescent="0.3">
      <c r="A23" s="23" t="s">
        <v>41</v>
      </c>
      <c r="B23" s="23">
        <v>470.5</v>
      </c>
      <c r="C23" s="23">
        <v>120</v>
      </c>
      <c r="D23" s="23">
        <f t="shared" si="3"/>
        <v>56460</v>
      </c>
      <c r="E23" s="24" t="s">
        <v>22</v>
      </c>
      <c r="F23" s="23">
        <v>115</v>
      </c>
      <c r="G23" s="25">
        <v>2000</v>
      </c>
      <c r="H23" s="26">
        <f t="shared" si="0"/>
        <v>286460</v>
      </c>
      <c r="I23" s="23">
        <v>5000</v>
      </c>
      <c r="J23" s="27">
        <f t="shared" si="4"/>
        <v>23646</v>
      </c>
      <c r="K23" s="28">
        <f t="shared" si="15"/>
        <v>57292</v>
      </c>
      <c r="L23" s="29">
        <f t="shared" si="14"/>
        <v>5570.0555555555557</v>
      </c>
      <c r="M23" s="30"/>
      <c r="N23" s="31">
        <v>300</v>
      </c>
      <c r="O23" s="31">
        <f t="shared" si="8"/>
        <v>29565</v>
      </c>
      <c r="P23" s="32">
        <f t="shared" si="1"/>
        <v>10.32081267890805</v>
      </c>
      <c r="Q23" s="32">
        <f t="shared" si="2"/>
        <v>9.6891594791138171</v>
      </c>
      <c r="R23" s="33"/>
    </row>
    <row r="24" spans="1:18" ht="28.8" x14ac:dyDescent="0.3">
      <c r="A24" s="12" t="s">
        <v>42</v>
      </c>
      <c r="B24" s="12">
        <v>628.6</v>
      </c>
      <c r="C24" s="12">
        <v>120</v>
      </c>
      <c r="D24" s="12">
        <f t="shared" si="3"/>
        <v>75432</v>
      </c>
      <c r="E24" s="13" t="s">
        <v>18</v>
      </c>
      <c r="F24" s="12">
        <v>145</v>
      </c>
      <c r="G24" s="14">
        <v>2000</v>
      </c>
      <c r="H24" s="14">
        <f t="shared" si="0"/>
        <v>365432</v>
      </c>
      <c r="I24" s="12">
        <v>5000</v>
      </c>
      <c r="J24" s="15">
        <f>(H24*0.1)-I24</f>
        <v>31543.200000000004</v>
      </c>
      <c r="K24" s="16">
        <f>H24*0.2</f>
        <v>73086.400000000009</v>
      </c>
      <c r="L24" s="17">
        <f t="shared" si="14"/>
        <v>7105.6222222222214</v>
      </c>
      <c r="M24" s="18">
        <f>(H24*0.08)/12</f>
        <v>2436.2133333333336</v>
      </c>
      <c r="N24" s="19">
        <v>300</v>
      </c>
      <c r="O24" s="19">
        <f t="shared" si="8"/>
        <v>29565</v>
      </c>
      <c r="P24" s="20">
        <f t="shared" si="1"/>
        <v>8.0904244838985093</v>
      </c>
      <c r="Q24" s="20">
        <f t="shared" si="2"/>
        <v>12.360290884491798</v>
      </c>
      <c r="R24" s="22"/>
    </row>
    <row r="25" spans="1:18" ht="28.8" x14ac:dyDescent="0.3">
      <c r="A25" s="12" t="s">
        <v>43</v>
      </c>
      <c r="B25" s="12">
        <v>652.1</v>
      </c>
      <c r="C25" s="12">
        <v>120</v>
      </c>
      <c r="D25" s="12">
        <f t="shared" si="3"/>
        <v>78252</v>
      </c>
      <c r="E25" s="13" t="s">
        <v>18</v>
      </c>
      <c r="F25" s="12">
        <v>145</v>
      </c>
      <c r="G25" s="14">
        <v>2000</v>
      </c>
      <c r="H25" s="14">
        <f t="shared" si="0"/>
        <v>368252</v>
      </c>
      <c r="I25" s="12">
        <v>5000</v>
      </c>
      <c r="J25" s="15">
        <f>(H25*0.1)-I25</f>
        <v>31825.200000000004</v>
      </c>
      <c r="K25" s="16">
        <f>H25*0.2</f>
        <v>73650.400000000009</v>
      </c>
      <c r="L25" s="17">
        <f t="shared" si="14"/>
        <v>7160.4555555555544</v>
      </c>
      <c r="M25" s="18">
        <f>(H25*0.08)/12</f>
        <v>2455.0133333333333</v>
      </c>
      <c r="N25" s="19">
        <v>400</v>
      </c>
      <c r="O25" s="19">
        <f t="shared" si="8"/>
        <v>39420</v>
      </c>
      <c r="P25" s="20">
        <f t="shared" si="1"/>
        <v>10.704626179898549</v>
      </c>
      <c r="Q25" s="20">
        <f t="shared" si="2"/>
        <v>9.3417554540842218</v>
      </c>
      <c r="R25" s="22"/>
    </row>
    <row r="26" spans="1:18" x14ac:dyDescent="0.3">
      <c r="A26" s="23" t="s">
        <v>44</v>
      </c>
      <c r="B26" s="23">
        <v>584.20000000000005</v>
      </c>
      <c r="C26" s="23">
        <v>120</v>
      </c>
      <c r="D26" s="23">
        <f t="shared" si="3"/>
        <v>70104</v>
      </c>
      <c r="E26" s="24" t="s">
        <v>22</v>
      </c>
      <c r="F26" s="23">
        <v>115</v>
      </c>
      <c r="G26" s="25">
        <v>2000</v>
      </c>
      <c r="H26" s="26">
        <f t="shared" si="0"/>
        <v>300104</v>
      </c>
      <c r="I26" s="23">
        <v>5000</v>
      </c>
      <c r="J26" s="27">
        <f t="shared" si="4"/>
        <v>25010.400000000001</v>
      </c>
      <c r="K26" s="28">
        <f>H26*0.2</f>
        <v>60020.800000000003</v>
      </c>
      <c r="L26" s="29">
        <f t="shared" si="14"/>
        <v>5835.3555555555549</v>
      </c>
      <c r="M26" s="30"/>
      <c r="N26" s="31">
        <v>300</v>
      </c>
      <c r="O26" s="31">
        <f t="shared" si="8"/>
        <v>29565</v>
      </c>
      <c r="P26" s="32">
        <f t="shared" si="1"/>
        <v>9.8515847839415667</v>
      </c>
      <c r="Q26" s="32">
        <f t="shared" si="2"/>
        <v>10.150651107728732</v>
      </c>
      <c r="R26" s="33"/>
    </row>
    <row r="27" spans="1:18" x14ac:dyDescent="0.3">
      <c r="A27" s="23" t="s">
        <v>45</v>
      </c>
      <c r="B27" s="23">
        <v>443.3</v>
      </c>
      <c r="C27" s="23">
        <v>120</v>
      </c>
      <c r="D27" s="23">
        <f t="shared" si="3"/>
        <v>53196</v>
      </c>
      <c r="E27" s="24" t="s">
        <v>22</v>
      </c>
      <c r="F27" s="23">
        <v>85</v>
      </c>
      <c r="G27" s="25">
        <v>2000</v>
      </c>
      <c r="H27" s="26">
        <f t="shared" si="0"/>
        <v>223196</v>
      </c>
      <c r="I27" s="23">
        <v>5000</v>
      </c>
      <c r="J27" s="27">
        <f t="shared" si="4"/>
        <v>17319.600000000002</v>
      </c>
      <c r="K27" s="28">
        <f t="shared" ref="K27:K43" si="16">H27*0.2</f>
        <v>44639.200000000004</v>
      </c>
      <c r="L27" s="29">
        <f t="shared" si="14"/>
        <v>4339.9222222222215</v>
      </c>
      <c r="M27" s="30"/>
      <c r="N27" s="31">
        <v>250</v>
      </c>
      <c r="O27" s="31">
        <f t="shared" si="8"/>
        <v>24637.5</v>
      </c>
      <c r="P27" s="32">
        <f t="shared" si="1"/>
        <v>11.038504274270149</v>
      </c>
      <c r="Q27" s="32">
        <f t="shared" si="2"/>
        <v>9.0591983764586512</v>
      </c>
      <c r="R27" s="33"/>
    </row>
    <row r="28" spans="1:18" x14ac:dyDescent="0.3">
      <c r="A28" s="23" t="s">
        <v>46</v>
      </c>
      <c r="B28" s="23">
        <v>348.6</v>
      </c>
      <c r="C28" s="23">
        <v>120</v>
      </c>
      <c r="D28" s="23">
        <f t="shared" si="3"/>
        <v>41832</v>
      </c>
      <c r="E28" s="24" t="s">
        <v>40</v>
      </c>
      <c r="F28" s="23">
        <v>85</v>
      </c>
      <c r="G28" s="25">
        <v>2000</v>
      </c>
      <c r="H28" s="26">
        <f t="shared" si="0"/>
        <v>211832</v>
      </c>
      <c r="I28" s="23">
        <v>5000</v>
      </c>
      <c r="J28" s="27">
        <f t="shared" si="4"/>
        <v>16183.2</v>
      </c>
      <c r="K28" s="28">
        <f t="shared" si="16"/>
        <v>42366.400000000001</v>
      </c>
      <c r="L28" s="29">
        <f t="shared" si="14"/>
        <v>4118.9555555555553</v>
      </c>
      <c r="M28" s="30"/>
      <c r="N28" s="31">
        <v>200</v>
      </c>
      <c r="O28" s="31">
        <f t="shared" si="8"/>
        <v>19710</v>
      </c>
      <c r="P28" s="32">
        <f t="shared" si="1"/>
        <v>9.3045432229313807</v>
      </c>
      <c r="Q28" s="32">
        <f t="shared" si="2"/>
        <v>10.747437848807712</v>
      </c>
      <c r="R28" s="33"/>
    </row>
    <row r="29" spans="1:18" x14ac:dyDescent="0.3">
      <c r="A29" s="23" t="s">
        <v>47</v>
      </c>
      <c r="B29" s="23">
        <v>298</v>
      </c>
      <c r="C29" s="23">
        <v>120</v>
      </c>
      <c r="D29" s="23">
        <f t="shared" si="3"/>
        <v>35760</v>
      </c>
      <c r="E29" s="24" t="s">
        <v>40</v>
      </c>
      <c r="F29" s="23">
        <v>85</v>
      </c>
      <c r="G29" s="25">
        <v>2000</v>
      </c>
      <c r="H29" s="26">
        <f t="shared" si="0"/>
        <v>205760</v>
      </c>
      <c r="I29" s="23">
        <v>5000</v>
      </c>
      <c r="J29" s="27">
        <f t="shared" si="4"/>
        <v>15576</v>
      </c>
      <c r="K29" s="28">
        <f t="shared" si="16"/>
        <v>41152</v>
      </c>
      <c r="L29" s="29">
        <f t="shared" si="14"/>
        <v>4000.8888888888887</v>
      </c>
      <c r="M29" s="30"/>
      <c r="N29" s="31">
        <v>200</v>
      </c>
      <c r="O29" s="31">
        <f t="shared" si="8"/>
        <v>19710</v>
      </c>
      <c r="P29" s="32">
        <f t="shared" si="1"/>
        <v>9.5791213063763614</v>
      </c>
      <c r="Q29" s="32">
        <f t="shared" si="2"/>
        <v>10.439370877727042</v>
      </c>
      <c r="R29" s="33"/>
    </row>
    <row r="30" spans="1:18" x14ac:dyDescent="0.3">
      <c r="A30" s="23" t="s">
        <v>48</v>
      </c>
      <c r="B30" s="23">
        <v>366</v>
      </c>
      <c r="C30" s="23">
        <v>120</v>
      </c>
      <c r="D30" s="23">
        <f t="shared" si="3"/>
        <v>43920</v>
      </c>
      <c r="E30" s="24" t="s">
        <v>22</v>
      </c>
      <c r="F30" s="23">
        <v>85</v>
      </c>
      <c r="G30" s="25">
        <v>2000</v>
      </c>
      <c r="H30" s="26">
        <f t="shared" si="0"/>
        <v>213920</v>
      </c>
      <c r="I30" s="23">
        <v>5000</v>
      </c>
      <c r="J30" s="27">
        <f t="shared" si="4"/>
        <v>16392</v>
      </c>
      <c r="K30" s="28">
        <f t="shared" si="16"/>
        <v>42784</v>
      </c>
      <c r="L30" s="29">
        <f t="shared" si="14"/>
        <v>4159.5555555555557</v>
      </c>
      <c r="M30" s="30"/>
      <c r="N30" s="31">
        <v>250</v>
      </c>
      <c r="O30" s="31">
        <f t="shared" si="8"/>
        <v>24637.5</v>
      </c>
      <c r="P30" s="32">
        <f t="shared" si="1"/>
        <v>11.517155946148092</v>
      </c>
      <c r="Q30" s="32">
        <f t="shared" si="2"/>
        <v>8.6826991374936586</v>
      </c>
      <c r="R30" s="33"/>
    </row>
    <row r="31" spans="1:18" x14ac:dyDescent="0.3">
      <c r="A31" s="23" t="s">
        <v>49</v>
      </c>
      <c r="B31" s="23">
        <v>369.6</v>
      </c>
      <c r="C31" s="23">
        <v>120</v>
      </c>
      <c r="D31" s="23">
        <f t="shared" si="3"/>
        <v>44352</v>
      </c>
      <c r="E31" s="24" t="s">
        <v>22</v>
      </c>
      <c r="F31" s="23">
        <v>85</v>
      </c>
      <c r="G31" s="25">
        <v>2000</v>
      </c>
      <c r="H31" s="26">
        <f t="shared" si="0"/>
        <v>214352</v>
      </c>
      <c r="I31" s="23">
        <v>5000</v>
      </c>
      <c r="J31" s="27">
        <f t="shared" si="4"/>
        <v>16435.2</v>
      </c>
      <c r="K31" s="28">
        <f t="shared" si="16"/>
        <v>42870.400000000001</v>
      </c>
      <c r="L31" s="29">
        <f t="shared" si="14"/>
        <v>4167.9555555555553</v>
      </c>
      <c r="M31" s="30"/>
      <c r="N31" s="31">
        <v>250</v>
      </c>
      <c r="O31" s="31">
        <f t="shared" si="8"/>
        <v>24637.5</v>
      </c>
      <c r="P31" s="32">
        <f t="shared" si="1"/>
        <v>11.493944539822348</v>
      </c>
      <c r="Q31" s="32">
        <f t="shared" si="2"/>
        <v>8.7002333840690014</v>
      </c>
      <c r="R31" s="33"/>
    </row>
    <row r="32" spans="1:18" x14ac:dyDescent="0.3">
      <c r="A32" s="23" t="s">
        <v>50</v>
      </c>
      <c r="B32" s="23">
        <v>385.3</v>
      </c>
      <c r="C32" s="23">
        <v>120</v>
      </c>
      <c r="D32" s="23">
        <f t="shared" si="3"/>
        <v>46236</v>
      </c>
      <c r="E32" s="24" t="s">
        <v>22</v>
      </c>
      <c r="F32" s="23">
        <v>85</v>
      </c>
      <c r="G32" s="25">
        <v>2000</v>
      </c>
      <c r="H32" s="26">
        <f t="shared" si="0"/>
        <v>216236</v>
      </c>
      <c r="I32" s="23">
        <v>5000</v>
      </c>
      <c r="J32" s="27">
        <f t="shared" si="4"/>
        <v>16623.600000000002</v>
      </c>
      <c r="K32" s="28">
        <f t="shared" si="16"/>
        <v>43247.200000000004</v>
      </c>
      <c r="L32" s="29">
        <f t="shared" si="14"/>
        <v>4204.5888888888885</v>
      </c>
      <c r="M32" s="30"/>
      <c r="N32" s="31">
        <v>250</v>
      </c>
      <c r="O32" s="31">
        <f t="shared" si="8"/>
        <v>24637.5</v>
      </c>
      <c r="P32" s="32">
        <f t="shared" si="1"/>
        <v>11.393801217188628</v>
      </c>
      <c r="Q32" s="32">
        <f t="shared" si="2"/>
        <v>8.7767021816336879</v>
      </c>
      <c r="R32" s="33"/>
    </row>
    <row r="33" spans="1:18" x14ac:dyDescent="0.3">
      <c r="A33" s="23" t="s">
        <v>51</v>
      </c>
      <c r="B33" s="23">
        <v>381.8</v>
      </c>
      <c r="C33" s="23">
        <v>120</v>
      </c>
      <c r="D33" s="23">
        <f t="shared" si="3"/>
        <v>45816</v>
      </c>
      <c r="E33" s="24" t="s">
        <v>22</v>
      </c>
      <c r="F33" s="23">
        <v>85</v>
      </c>
      <c r="G33" s="25">
        <v>2000</v>
      </c>
      <c r="H33" s="26">
        <f t="shared" si="0"/>
        <v>215816</v>
      </c>
      <c r="I33" s="23">
        <v>5000</v>
      </c>
      <c r="J33" s="27">
        <f t="shared" si="4"/>
        <v>16581.600000000002</v>
      </c>
      <c r="K33" s="28">
        <f t="shared" si="16"/>
        <v>43163.200000000004</v>
      </c>
      <c r="L33" s="29">
        <f t="shared" si="14"/>
        <v>4196.4222222222215</v>
      </c>
      <c r="M33" s="30"/>
      <c r="N33" s="31">
        <v>250</v>
      </c>
      <c r="O33" s="31">
        <f t="shared" si="8"/>
        <v>24637.5</v>
      </c>
      <c r="P33" s="32">
        <f t="shared" si="1"/>
        <v>11.415974719205249</v>
      </c>
      <c r="Q33" s="32">
        <f t="shared" si="2"/>
        <v>8.7596549974632172</v>
      </c>
      <c r="R33" s="33"/>
    </row>
    <row r="34" spans="1:18" x14ac:dyDescent="0.3">
      <c r="A34" s="23" t="s">
        <v>52</v>
      </c>
      <c r="B34" s="23">
        <v>336.7</v>
      </c>
      <c r="C34" s="23">
        <v>120</v>
      </c>
      <c r="D34" s="23">
        <f t="shared" si="3"/>
        <v>40404</v>
      </c>
      <c r="E34" s="24" t="s">
        <v>40</v>
      </c>
      <c r="F34" s="23">
        <v>85</v>
      </c>
      <c r="G34" s="25">
        <v>2000</v>
      </c>
      <c r="H34" s="26">
        <f t="shared" si="0"/>
        <v>210404</v>
      </c>
      <c r="I34" s="23">
        <v>5000</v>
      </c>
      <c r="J34" s="27">
        <f t="shared" si="4"/>
        <v>16040.400000000001</v>
      </c>
      <c r="K34" s="28">
        <f t="shared" si="16"/>
        <v>42080.800000000003</v>
      </c>
      <c r="L34" s="29">
        <f t="shared" si="14"/>
        <v>4091.1888888888884</v>
      </c>
      <c r="M34" s="30"/>
      <c r="N34" s="31">
        <v>250</v>
      </c>
      <c r="O34" s="31">
        <f t="shared" si="8"/>
        <v>24637.5</v>
      </c>
      <c r="P34" s="32">
        <f t="shared" si="1"/>
        <v>11.709615786772115</v>
      </c>
      <c r="Q34" s="32">
        <f t="shared" si="2"/>
        <v>8.5399898528665652</v>
      </c>
      <c r="R34" s="33"/>
    </row>
    <row r="35" spans="1:18" x14ac:dyDescent="0.3">
      <c r="A35" s="23" t="s">
        <v>53</v>
      </c>
      <c r="B35" s="23">
        <v>360.1</v>
      </c>
      <c r="C35" s="23">
        <v>120</v>
      </c>
      <c r="D35" s="23">
        <f t="shared" si="3"/>
        <v>43212</v>
      </c>
      <c r="E35" s="24" t="s">
        <v>22</v>
      </c>
      <c r="F35" s="23">
        <v>85</v>
      </c>
      <c r="G35" s="25">
        <v>2000</v>
      </c>
      <c r="H35" s="26">
        <f t="shared" si="0"/>
        <v>213212</v>
      </c>
      <c r="I35" s="23">
        <v>5000</v>
      </c>
      <c r="J35" s="27">
        <f t="shared" si="4"/>
        <v>16321.2</v>
      </c>
      <c r="K35" s="28">
        <f t="shared" si="16"/>
        <v>42642.400000000001</v>
      </c>
      <c r="L35" s="29">
        <f t="shared" si="14"/>
        <v>4145.7888888888883</v>
      </c>
      <c r="M35" s="30"/>
      <c r="N35" s="31">
        <v>250</v>
      </c>
      <c r="O35" s="31">
        <f t="shared" si="8"/>
        <v>24637.5</v>
      </c>
      <c r="P35" s="32">
        <f t="shared" si="1"/>
        <v>11.555400258897249</v>
      </c>
      <c r="Q35" s="32">
        <f t="shared" si="2"/>
        <v>8.6539624556062904</v>
      </c>
      <c r="R35" s="33"/>
    </row>
    <row r="36" spans="1:18" x14ac:dyDescent="0.3">
      <c r="A36" s="23" t="s">
        <v>54</v>
      </c>
      <c r="B36" s="23">
        <v>325.3</v>
      </c>
      <c r="C36" s="23">
        <v>120</v>
      </c>
      <c r="D36" s="23">
        <f t="shared" si="3"/>
        <v>39036</v>
      </c>
      <c r="E36" s="24" t="s">
        <v>40</v>
      </c>
      <c r="F36" s="23">
        <v>85</v>
      </c>
      <c r="G36" s="25">
        <v>2000</v>
      </c>
      <c r="H36" s="26">
        <f t="shared" si="0"/>
        <v>209036</v>
      </c>
      <c r="I36" s="23">
        <v>5000</v>
      </c>
      <c r="J36" s="27">
        <f t="shared" si="4"/>
        <v>15903.600000000002</v>
      </c>
      <c r="K36" s="28">
        <f t="shared" si="16"/>
        <v>41807.200000000004</v>
      </c>
      <c r="L36" s="29">
        <f t="shared" si="14"/>
        <v>4064.5888888888885</v>
      </c>
      <c r="M36" s="30"/>
      <c r="N36" s="31">
        <v>250</v>
      </c>
      <c r="O36" s="31">
        <f t="shared" si="8"/>
        <v>24637.5</v>
      </c>
      <c r="P36" s="32">
        <f t="shared" si="1"/>
        <v>11.786247344954937</v>
      </c>
      <c r="Q36" s="32">
        <f t="shared" si="2"/>
        <v>8.4844647387113135</v>
      </c>
      <c r="R36" s="33"/>
    </row>
    <row r="37" spans="1:18" x14ac:dyDescent="0.3">
      <c r="A37" s="23" t="s">
        <v>55</v>
      </c>
      <c r="B37" s="23">
        <v>335.4</v>
      </c>
      <c r="C37" s="23">
        <v>120</v>
      </c>
      <c r="D37" s="23">
        <f t="shared" si="3"/>
        <v>40248</v>
      </c>
      <c r="E37" s="24" t="s">
        <v>40</v>
      </c>
      <c r="F37" s="23">
        <v>85</v>
      </c>
      <c r="G37" s="25">
        <v>2000</v>
      </c>
      <c r="H37" s="26">
        <f t="shared" si="0"/>
        <v>210248</v>
      </c>
      <c r="I37" s="23">
        <v>5000</v>
      </c>
      <c r="J37" s="27">
        <f t="shared" si="4"/>
        <v>16024.800000000003</v>
      </c>
      <c r="K37" s="28">
        <f t="shared" si="16"/>
        <v>42049.600000000006</v>
      </c>
      <c r="L37" s="29">
        <f t="shared" si="14"/>
        <v>4088.1555555555556</v>
      </c>
      <c r="M37" s="30"/>
      <c r="N37" s="31">
        <v>250</v>
      </c>
      <c r="O37" s="31">
        <f t="shared" si="8"/>
        <v>24637.5</v>
      </c>
      <c r="P37" s="32">
        <f t="shared" si="1"/>
        <v>11.71830409801758</v>
      </c>
      <c r="Q37" s="32">
        <f t="shared" si="2"/>
        <v>8.5336580416032479</v>
      </c>
      <c r="R37" s="33"/>
    </row>
    <row r="38" spans="1:18" x14ac:dyDescent="0.3">
      <c r="A38" s="23" t="s">
        <v>56</v>
      </c>
      <c r="B38" s="23">
        <v>293</v>
      </c>
      <c r="C38" s="23">
        <v>120</v>
      </c>
      <c r="D38" s="23">
        <f t="shared" si="3"/>
        <v>35160</v>
      </c>
      <c r="E38" s="24" t="s">
        <v>40</v>
      </c>
      <c r="F38" s="23">
        <v>85</v>
      </c>
      <c r="G38" s="25">
        <v>2000</v>
      </c>
      <c r="H38" s="26">
        <f t="shared" si="0"/>
        <v>205160</v>
      </c>
      <c r="I38" s="23">
        <v>5000</v>
      </c>
      <c r="J38" s="27">
        <f t="shared" si="4"/>
        <v>15516</v>
      </c>
      <c r="K38" s="28">
        <f t="shared" si="16"/>
        <v>41032</v>
      </c>
      <c r="L38" s="29">
        <f t="shared" si="14"/>
        <v>3989.2222222222222</v>
      </c>
      <c r="M38" s="30"/>
      <c r="N38" s="31">
        <v>250</v>
      </c>
      <c r="O38" s="31">
        <f t="shared" si="8"/>
        <v>24637.5</v>
      </c>
      <c r="P38" s="32">
        <f t="shared" si="1"/>
        <v>12.008919867420548</v>
      </c>
      <c r="Q38" s="32">
        <f t="shared" si="2"/>
        <v>8.3271435819381026</v>
      </c>
      <c r="R38" s="33"/>
    </row>
    <row r="39" spans="1:18" x14ac:dyDescent="0.3">
      <c r="A39" s="23" t="s">
        <v>57</v>
      </c>
      <c r="B39" s="23">
        <v>334.3</v>
      </c>
      <c r="C39" s="23">
        <v>120</v>
      </c>
      <c r="D39" s="23">
        <f t="shared" si="3"/>
        <v>40116</v>
      </c>
      <c r="E39" s="24" t="s">
        <v>40</v>
      </c>
      <c r="F39" s="23">
        <v>85</v>
      </c>
      <c r="G39" s="25">
        <v>2000</v>
      </c>
      <c r="H39" s="26">
        <f t="shared" si="0"/>
        <v>210116</v>
      </c>
      <c r="I39" s="23">
        <v>5000</v>
      </c>
      <c r="J39" s="27">
        <f t="shared" si="4"/>
        <v>16011.600000000002</v>
      </c>
      <c r="K39" s="28">
        <f t="shared" si="16"/>
        <v>42023.200000000004</v>
      </c>
      <c r="L39" s="29">
        <f t="shared" si="14"/>
        <v>4085.5888888888885</v>
      </c>
      <c r="M39" s="30"/>
      <c r="N39" s="31">
        <v>250</v>
      </c>
      <c r="O39" s="31">
        <f t="shared" si="8"/>
        <v>24637.5</v>
      </c>
      <c r="P39" s="32">
        <f t="shared" si="1"/>
        <v>11.72566582268842</v>
      </c>
      <c r="Q39" s="32">
        <f t="shared" si="2"/>
        <v>8.5283003551496694</v>
      </c>
      <c r="R39" s="33"/>
    </row>
    <row r="40" spans="1:18" x14ac:dyDescent="0.3">
      <c r="A40" s="23" t="s">
        <v>58</v>
      </c>
      <c r="B40" s="23">
        <v>433.6</v>
      </c>
      <c r="C40" s="23">
        <v>120</v>
      </c>
      <c r="D40" s="23">
        <f t="shared" si="3"/>
        <v>52032</v>
      </c>
      <c r="E40" s="24" t="s">
        <v>22</v>
      </c>
      <c r="F40" s="23">
        <v>85</v>
      </c>
      <c r="G40" s="25">
        <v>2000</v>
      </c>
      <c r="H40" s="26">
        <f t="shared" si="0"/>
        <v>222032</v>
      </c>
      <c r="I40" s="23">
        <v>5000</v>
      </c>
      <c r="J40" s="27">
        <f t="shared" si="4"/>
        <v>17203.2</v>
      </c>
      <c r="K40" s="28">
        <f t="shared" si="16"/>
        <v>44406.400000000001</v>
      </c>
      <c r="L40" s="29">
        <f t="shared" si="14"/>
        <v>4317.2888888888883</v>
      </c>
      <c r="M40" s="30"/>
      <c r="N40" s="31">
        <v>250</v>
      </c>
      <c r="O40" s="31">
        <f t="shared" si="8"/>
        <v>24637.5</v>
      </c>
      <c r="P40" s="32">
        <f t="shared" si="1"/>
        <v>11.09637349571233</v>
      </c>
      <c r="Q40" s="32">
        <f t="shared" si="2"/>
        <v>9.0119533231861997</v>
      </c>
      <c r="R40" s="33"/>
    </row>
    <row r="41" spans="1:18" x14ac:dyDescent="0.3">
      <c r="A41" s="23" t="s">
        <v>59</v>
      </c>
      <c r="B41" s="23">
        <v>441</v>
      </c>
      <c r="C41" s="23">
        <v>120</v>
      </c>
      <c r="D41" s="23">
        <f t="shared" si="3"/>
        <v>52920</v>
      </c>
      <c r="E41" s="24" t="s">
        <v>22</v>
      </c>
      <c r="F41" s="23">
        <v>85</v>
      </c>
      <c r="G41" s="25">
        <v>2000</v>
      </c>
      <c r="H41" s="26">
        <f t="shared" si="0"/>
        <v>222920</v>
      </c>
      <c r="I41" s="23">
        <v>5000</v>
      </c>
      <c r="J41" s="27">
        <f t="shared" si="4"/>
        <v>17292</v>
      </c>
      <c r="K41" s="28">
        <f t="shared" si="16"/>
        <v>44584</v>
      </c>
      <c r="L41" s="29">
        <f t="shared" si="14"/>
        <v>4334.5555555555557</v>
      </c>
      <c r="M41" s="30"/>
      <c r="N41" s="31">
        <v>250</v>
      </c>
      <c r="O41" s="31">
        <f t="shared" si="8"/>
        <v>24637.5</v>
      </c>
      <c r="P41" s="32">
        <f t="shared" si="1"/>
        <v>11.05217118248699</v>
      </c>
      <c r="Q41" s="32">
        <f t="shared" si="2"/>
        <v>9.0479959411466258</v>
      </c>
      <c r="R41" s="33"/>
    </row>
    <row r="42" spans="1:18" x14ac:dyDescent="0.3">
      <c r="A42" s="23" t="s">
        <v>60</v>
      </c>
      <c r="B42" s="23">
        <v>476.4</v>
      </c>
      <c r="C42" s="23">
        <v>120</v>
      </c>
      <c r="D42" s="23">
        <f t="shared" si="3"/>
        <v>57168</v>
      </c>
      <c r="E42" s="24" t="s">
        <v>22</v>
      </c>
      <c r="F42" s="23">
        <v>115</v>
      </c>
      <c r="G42" s="25">
        <v>2000</v>
      </c>
      <c r="H42" s="26">
        <f t="shared" si="0"/>
        <v>287168</v>
      </c>
      <c r="I42" s="23">
        <v>5000</v>
      </c>
      <c r="J42" s="27">
        <f t="shared" si="4"/>
        <v>23716.800000000003</v>
      </c>
      <c r="K42" s="28">
        <f t="shared" si="16"/>
        <v>57433.600000000006</v>
      </c>
      <c r="L42" s="29">
        <f t="shared" si="14"/>
        <v>5583.8222222222221</v>
      </c>
      <c r="M42" s="30"/>
      <c r="N42" s="31">
        <v>300</v>
      </c>
      <c r="O42" s="31">
        <f t="shared" si="8"/>
        <v>29565</v>
      </c>
      <c r="P42" s="32">
        <f t="shared" si="1"/>
        <v>10.295367171829731</v>
      </c>
      <c r="Q42" s="32">
        <f t="shared" si="2"/>
        <v>9.7131067140199558</v>
      </c>
      <c r="R42" s="33"/>
    </row>
    <row r="43" spans="1:18" x14ac:dyDescent="0.3">
      <c r="A43" s="23" t="s">
        <v>61</v>
      </c>
      <c r="B43" s="23">
        <v>353.5</v>
      </c>
      <c r="C43" s="23">
        <v>120</v>
      </c>
      <c r="D43" s="23">
        <f t="shared" si="3"/>
        <v>42420</v>
      </c>
      <c r="E43" s="24" t="s">
        <v>22</v>
      </c>
      <c r="F43" s="23">
        <v>85</v>
      </c>
      <c r="G43" s="25">
        <v>2000</v>
      </c>
      <c r="H43" s="26">
        <f t="shared" si="0"/>
        <v>212420</v>
      </c>
      <c r="I43" s="23">
        <v>5000</v>
      </c>
      <c r="J43" s="27">
        <f t="shared" si="4"/>
        <v>16242</v>
      </c>
      <c r="K43" s="28">
        <f t="shared" si="16"/>
        <v>42484</v>
      </c>
      <c r="L43" s="29">
        <f t="shared" si="14"/>
        <v>4130.3888888888887</v>
      </c>
      <c r="M43" s="30"/>
      <c r="N43" s="31">
        <v>250</v>
      </c>
      <c r="O43" s="31">
        <f t="shared" si="8"/>
        <v>24637.5</v>
      </c>
      <c r="P43" s="32">
        <f t="shared" si="1"/>
        <v>11.598484135203842</v>
      </c>
      <c r="Q43" s="32">
        <f t="shared" si="2"/>
        <v>8.6218163368848302</v>
      </c>
      <c r="R43" s="33"/>
    </row>
    <row r="44" spans="1:18" x14ac:dyDescent="0.3">
      <c r="A44" s="12" t="s">
        <v>62</v>
      </c>
      <c r="B44" s="12">
        <v>626.5</v>
      </c>
      <c r="C44" s="12">
        <v>120</v>
      </c>
      <c r="D44" s="12">
        <f t="shared" si="3"/>
        <v>75180</v>
      </c>
      <c r="E44" s="13" t="s">
        <v>22</v>
      </c>
      <c r="F44" s="12">
        <v>145</v>
      </c>
      <c r="G44" s="14">
        <v>2000</v>
      </c>
      <c r="H44" s="14">
        <f t="shared" si="0"/>
        <v>365180</v>
      </c>
      <c r="I44" s="12">
        <v>5000</v>
      </c>
      <c r="J44" s="15">
        <f>(H44*0.1)-I44</f>
        <v>31518</v>
      </c>
      <c r="K44" s="16">
        <f>H44*0.2</f>
        <v>73036</v>
      </c>
      <c r="L44" s="17">
        <f t="shared" si="14"/>
        <v>7100.7222222222226</v>
      </c>
      <c r="M44" s="18">
        <f>(H44*0.08)/12</f>
        <v>2434.5333333333333</v>
      </c>
      <c r="N44" s="19">
        <v>400</v>
      </c>
      <c r="O44" s="19">
        <f t="shared" si="8"/>
        <v>39420</v>
      </c>
      <c r="P44" s="20">
        <f t="shared" si="1"/>
        <v>10.794676597842159</v>
      </c>
      <c r="Q44" s="20">
        <f t="shared" si="2"/>
        <v>9.2638254693049209</v>
      </c>
      <c r="R44" s="22"/>
    </row>
    <row r="45" spans="1:18" ht="28.8" x14ac:dyDescent="0.3">
      <c r="A45" s="12" t="s">
        <v>63</v>
      </c>
      <c r="B45" s="12">
        <v>721.9</v>
      </c>
      <c r="C45" s="12">
        <v>120</v>
      </c>
      <c r="D45" s="12">
        <f t="shared" si="3"/>
        <v>86628</v>
      </c>
      <c r="E45" s="13" t="s">
        <v>18</v>
      </c>
      <c r="F45" s="12">
        <v>145</v>
      </c>
      <c r="G45" s="14">
        <v>2000</v>
      </c>
      <c r="H45" s="14">
        <f t="shared" si="0"/>
        <v>376628</v>
      </c>
      <c r="I45" s="12">
        <v>5000</v>
      </c>
      <c r="J45" s="15">
        <f>(H45*0.1)-I45</f>
        <v>32662.800000000003</v>
      </c>
      <c r="K45" s="16">
        <f>H45*0.2</f>
        <v>75325.600000000006</v>
      </c>
      <c r="L45" s="17">
        <f t="shared" si="14"/>
        <v>7323.3222222222212</v>
      </c>
      <c r="M45" s="18">
        <f>(H45*0.08)/12</f>
        <v>2510.8533333333335</v>
      </c>
      <c r="N45" s="19">
        <v>400</v>
      </c>
      <c r="O45" s="19">
        <f t="shared" si="8"/>
        <v>39420</v>
      </c>
      <c r="P45" s="20">
        <f t="shared" si="1"/>
        <v>10.466561169111166</v>
      </c>
      <c r="Q45" s="20">
        <f t="shared" si="2"/>
        <v>9.5542364282090304</v>
      </c>
      <c r="R45" s="22"/>
    </row>
    <row r="46" spans="1:18" ht="28.8" x14ac:dyDescent="0.3">
      <c r="A46" s="12" t="s">
        <v>64</v>
      </c>
      <c r="B46" s="12">
        <v>789.1</v>
      </c>
      <c r="C46" s="12">
        <v>120</v>
      </c>
      <c r="D46" s="12">
        <f t="shared" si="3"/>
        <v>94692</v>
      </c>
      <c r="E46" s="13" t="s">
        <v>18</v>
      </c>
      <c r="F46" s="12">
        <v>145</v>
      </c>
      <c r="G46" s="14">
        <v>2000</v>
      </c>
      <c r="H46" s="14">
        <f t="shared" si="0"/>
        <v>384692</v>
      </c>
      <c r="I46" s="12">
        <v>5000</v>
      </c>
      <c r="J46" s="15">
        <f t="shared" ref="J46:J48" si="17">(H46*0.1)-I46</f>
        <v>33469.200000000004</v>
      </c>
      <c r="K46" s="16">
        <f t="shared" ref="K46:K48" si="18">H46*0.2</f>
        <v>76938.400000000009</v>
      </c>
      <c r="L46" s="17">
        <f t="shared" si="14"/>
        <v>7480.1222222222214</v>
      </c>
      <c r="M46" s="18">
        <f t="shared" ref="M46:M48" si="19">(H46*0.08)/12</f>
        <v>2564.6133333333332</v>
      </c>
      <c r="N46" s="19">
        <v>400</v>
      </c>
      <c r="O46" s="19">
        <f t="shared" si="8"/>
        <v>39420</v>
      </c>
      <c r="P46" s="20">
        <f t="shared" si="1"/>
        <v>10.247158765973818</v>
      </c>
      <c r="Q46" s="20">
        <f t="shared" si="2"/>
        <v>9.7588026382546929</v>
      </c>
      <c r="R46" s="22"/>
    </row>
    <row r="47" spans="1:18" ht="28.8" x14ac:dyDescent="0.3">
      <c r="A47" s="12" t="s">
        <v>65</v>
      </c>
      <c r="B47" s="12">
        <v>918.3</v>
      </c>
      <c r="C47" s="12">
        <v>120</v>
      </c>
      <c r="D47" s="12">
        <f t="shared" si="3"/>
        <v>110196</v>
      </c>
      <c r="E47" s="13" t="s">
        <v>18</v>
      </c>
      <c r="F47" s="12">
        <v>145</v>
      </c>
      <c r="G47" s="14">
        <v>2000</v>
      </c>
      <c r="H47" s="14">
        <f t="shared" si="0"/>
        <v>400196</v>
      </c>
      <c r="I47" s="12">
        <v>5000</v>
      </c>
      <c r="J47" s="15">
        <f t="shared" si="17"/>
        <v>35019.600000000006</v>
      </c>
      <c r="K47" s="16">
        <f t="shared" si="18"/>
        <v>80039.200000000012</v>
      </c>
      <c r="L47" s="17">
        <f t="shared" si="14"/>
        <v>7781.5888888888894</v>
      </c>
      <c r="M47" s="18">
        <f t="shared" si="19"/>
        <v>2667.9733333333334</v>
      </c>
      <c r="N47" s="19">
        <v>400</v>
      </c>
      <c r="O47" s="19">
        <f t="shared" si="8"/>
        <v>39420</v>
      </c>
      <c r="P47" s="20">
        <f t="shared" si="1"/>
        <v>9.8501734150266369</v>
      </c>
      <c r="Q47" s="20">
        <f t="shared" si="2"/>
        <v>10.152105530187722</v>
      </c>
      <c r="R47" s="22"/>
    </row>
    <row r="48" spans="1:18" ht="28.8" x14ac:dyDescent="0.3">
      <c r="A48" s="12" t="s">
        <v>66</v>
      </c>
      <c r="B48" s="12">
        <v>744.7</v>
      </c>
      <c r="C48" s="12">
        <v>120</v>
      </c>
      <c r="D48" s="12">
        <f t="shared" si="3"/>
        <v>89364</v>
      </c>
      <c r="E48" s="13" t="s">
        <v>18</v>
      </c>
      <c r="F48" s="12">
        <v>145</v>
      </c>
      <c r="G48" s="14">
        <v>2000</v>
      </c>
      <c r="H48" s="14">
        <f t="shared" si="0"/>
        <v>379364</v>
      </c>
      <c r="I48" s="12">
        <v>5000</v>
      </c>
      <c r="J48" s="15">
        <f t="shared" si="17"/>
        <v>32936.400000000001</v>
      </c>
      <c r="K48" s="16">
        <f t="shared" si="18"/>
        <v>75872.800000000003</v>
      </c>
      <c r="L48" s="17">
        <f t="shared" si="14"/>
        <v>7376.5222222222219</v>
      </c>
      <c r="M48" s="18">
        <f t="shared" si="19"/>
        <v>2529.0933333333332</v>
      </c>
      <c r="N48" s="19">
        <v>400</v>
      </c>
      <c r="O48" s="19">
        <f t="shared" si="8"/>
        <v>39420</v>
      </c>
      <c r="P48" s="20">
        <f t="shared" si="1"/>
        <v>10.391075589671134</v>
      </c>
      <c r="Q48" s="20">
        <f t="shared" si="2"/>
        <v>9.6236428209030951</v>
      </c>
      <c r="R48" s="22"/>
    </row>
    <row r="49" spans="1:18" ht="28.8" x14ac:dyDescent="0.3">
      <c r="A49" s="12" t="s">
        <v>67</v>
      </c>
      <c r="B49" s="12">
        <v>751.9</v>
      </c>
      <c r="C49" s="12">
        <v>120</v>
      </c>
      <c r="D49" s="12">
        <f t="shared" si="3"/>
        <v>90228</v>
      </c>
      <c r="E49" s="13" t="s">
        <v>18</v>
      </c>
      <c r="F49" s="12">
        <v>145</v>
      </c>
      <c r="G49" s="14">
        <v>2000</v>
      </c>
      <c r="H49" s="14">
        <f t="shared" si="0"/>
        <v>380228</v>
      </c>
      <c r="I49" s="12">
        <v>5000</v>
      </c>
      <c r="J49" s="15">
        <f>(H49*0.1)-I49</f>
        <v>33022.800000000003</v>
      </c>
      <c r="K49" s="16">
        <f>H49*0.2</f>
        <v>76045.600000000006</v>
      </c>
      <c r="L49" s="17">
        <f t="shared" si="14"/>
        <v>7393.3222222222212</v>
      </c>
      <c r="M49" s="18">
        <f>(H49*0.08)/12</f>
        <v>2534.8533333333335</v>
      </c>
      <c r="N49" s="19">
        <v>400</v>
      </c>
      <c r="O49" s="19">
        <f t="shared" si="8"/>
        <v>39420</v>
      </c>
      <c r="P49" s="20">
        <f t="shared" si="1"/>
        <v>10.367463732286945</v>
      </c>
      <c r="Q49" s="20">
        <f t="shared" si="2"/>
        <v>9.6455606291222722</v>
      </c>
      <c r="R49" s="22"/>
    </row>
    <row r="50" spans="1:18" x14ac:dyDescent="0.3">
      <c r="A50" s="34"/>
      <c r="B50" s="34"/>
      <c r="C50" s="34"/>
      <c r="D50" s="34"/>
      <c r="E50" s="35"/>
      <c r="F50" s="34"/>
      <c r="G50" s="36"/>
      <c r="H50" s="36"/>
      <c r="I50" s="34"/>
      <c r="J50" s="37"/>
      <c r="K50" s="38"/>
      <c r="L50" s="39"/>
      <c r="M50" s="40"/>
      <c r="N50" s="41"/>
      <c r="O50" s="42"/>
      <c r="P50" s="43"/>
      <c r="Q50" s="43"/>
      <c r="R50" s="44"/>
    </row>
    <row r="51" spans="1:18" x14ac:dyDescent="0.3">
      <c r="A51" s="105" t="s">
        <v>68</v>
      </c>
      <c r="B51" s="105"/>
      <c r="C51" s="105"/>
      <c r="D51" s="105"/>
      <c r="E51" s="105"/>
      <c r="F51" s="45"/>
      <c r="G51" s="45"/>
      <c r="H51" s="45"/>
      <c r="I51" s="45"/>
      <c r="J51" s="45"/>
      <c r="K51" s="45"/>
      <c r="L51" s="45"/>
      <c r="M51" s="45"/>
      <c r="N51" s="45"/>
      <c r="O51" s="46"/>
      <c r="P51" s="45"/>
      <c r="Q51" s="45"/>
      <c r="R51" s="47"/>
    </row>
    <row r="52" spans="1:18" ht="115.2" x14ac:dyDescent="0.3">
      <c r="A52" s="1" t="s">
        <v>0</v>
      </c>
      <c r="B52" s="1" t="s">
        <v>1</v>
      </c>
      <c r="C52" s="2" t="s">
        <v>2</v>
      </c>
      <c r="D52" s="2" t="s">
        <v>3</v>
      </c>
      <c r="E52" s="3" t="s">
        <v>4</v>
      </c>
      <c r="F52" s="1" t="s">
        <v>5</v>
      </c>
      <c r="G52" s="4" t="s">
        <v>6</v>
      </c>
      <c r="H52" s="5" t="s">
        <v>7</v>
      </c>
      <c r="I52" s="2" t="s">
        <v>8</v>
      </c>
      <c r="J52" s="6" t="s">
        <v>9</v>
      </c>
      <c r="K52" s="7" t="s">
        <v>10</v>
      </c>
      <c r="L52" s="8" t="s">
        <v>11</v>
      </c>
      <c r="M52" s="9" t="s">
        <v>12</v>
      </c>
      <c r="N52" s="1" t="s">
        <v>13</v>
      </c>
      <c r="O52" s="1" t="s">
        <v>14</v>
      </c>
      <c r="P52" s="10" t="s">
        <v>15</v>
      </c>
      <c r="Q52" s="10" t="s">
        <v>16</v>
      </c>
      <c r="R52" s="48"/>
    </row>
    <row r="53" spans="1:18" x14ac:dyDescent="0.3">
      <c r="A53" s="41" t="s">
        <v>69</v>
      </c>
      <c r="B53" s="19">
        <v>654.9</v>
      </c>
      <c r="C53" s="19">
        <v>100</v>
      </c>
      <c r="D53" s="19">
        <f>C53*B53</f>
        <v>65490</v>
      </c>
      <c r="E53" s="13" t="s">
        <v>70</v>
      </c>
      <c r="F53" s="19">
        <v>145</v>
      </c>
      <c r="G53" s="49">
        <v>2000</v>
      </c>
      <c r="H53" s="50">
        <f t="shared" ref="H53" si="20">G53*F53+D53</f>
        <v>355490</v>
      </c>
      <c r="I53" s="12">
        <v>5000</v>
      </c>
      <c r="J53" s="15">
        <f>(H53*0.1)-I53</f>
        <v>30549</v>
      </c>
      <c r="K53" s="16">
        <f>H53*0.2</f>
        <v>71098</v>
      </c>
      <c r="L53" s="17">
        <f t="shared" ref="L53:L96" si="21">(H53-I53-J53-K53)/36</f>
        <v>6912.3055555555557</v>
      </c>
      <c r="M53" s="18">
        <f>(H53*0.08)/12</f>
        <v>2369.9333333333334</v>
      </c>
      <c r="N53" s="19">
        <v>350</v>
      </c>
      <c r="O53" s="19">
        <f t="shared" ref="O53:O96" si="22">(N53*365*0.45)*0.6</f>
        <v>34492.5</v>
      </c>
      <c r="P53" s="51">
        <f t="shared" ref="P53:P96" si="23">(O53/H53)*100</f>
        <v>9.7028045795943623</v>
      </c>
      <c r="Q53" s="20">
        <f t="shared" ref="Q53:Q96" si="24">H53/O53</f>
        <v>10.306298470682032</v>
      </c>
      <c r="R53" s="52"/>
    </row>
    <row r="54" spans="1:18" x14ac:dyDescent="0.3">
      <c r="A54" t="s">
        <v>71</v>
      </c>
      <c r="B54" s="31">
        <v>392.4</v>
      </c>
      <c r="C54" s="31">
        <v>100</v>
      </c>
      <c r="D54" s="31">
        <f t="shared" ref="D54:D96" si="25">C54*B54</f>
        <v>39240</v>
      </c>
      <c r="E54" s="24" t="s">
        <v>72</v>
      </c>
      <c r="F54" s="31">
        <v>85</v>
      </c>
      <c r="G54" s="49">
        <v>2000</v>
      </c>
      <c r="H54" s="53">
        <f>G54*F54+D54</f>
        <v>209240</v>
      </c>
      <c r="I54" s="23">
        <v>5000</v>
      </c>
      <c r="J54" s="27">
        <f t="shared" ref="J54:J96" si="26">(H54*0.1)-I54</f>
        <v>15924</v>
      </c>
      <c r="K54" s="28">
        <f>H54*0.2</f>
        <v>41848</v>
      </c>
      <c r="L54" s="29">
        <f t="shared" si="21"/>
        <v>4068.5555555555557</v>
      </c>
      <c r="M54" s="30"/>
      <c r="N54" s="31">
        <v>200</v>
      </c>
      <c r="O54" s="31">
        <f t="shared" si="22"/>
        <v>19710</v>
      </c>
      <c r="P54" s="54">
        <f t="shared" si="23"/>
        <v>9.4198050086025624</v>
      </c>
      <c r="Q54" s="32">
        <f t="shared" si="24"/>
        <v>10.615930999492644</v>
      </c>
      <c r="R54" s="55"/>
    </row>
    <row r="55" spans="1:18" x14ac:dyDescent="0.3">
      <c r="A55" t="s">
        <v>73</v>
      </c>
      <c r="B55" s="31">
        <v>491.7</v>
      </c>
      <c r="C55" s="31">
        <v>100</v>
      </c>
      <c r="D55" s="31">
        <f t="shared" si="25"/>
        <v>49170</v>
      </c>
      <c r="E55" s="24" t="s">
        <v>74</v>
      </c>
      <c r="F55" s="31">
        <v>115</v>
      </c>
      <c r="G55" s="49">
        <v>2000</v>
      </c>
      <c r="H55" s="53">
        <f t="shared" ref="H55:H96" si="27">G55*F55+D55</f>
        <v>279170</v>
      </c>
      <c r="I55" s="23">
        <v>5000</v>
      </c>
      <c r="J55" s="27">
        <f t="shared" si="26"/>
        <v>22917</v>
      </c>
      <c r="K55" s="28">
        <f t="shared" ref="K55:K57" si="28">H55*0.2</f>
        <v>55834</v>
      </c>
      <c r="L55" s="29">
        <f t="shared" si="21"/>
        <v>5428.3055555555557</v>
      </c>
      <c r="M55" s="30"/>
      <c r="N55" s="31">
        <v>250</v>
      </c>
      <c r="O55" s="31">
        <f t="shared" si="22"/>
        <v>24637.5</v>
      </c>
      <c r="P55" s="54">
        <f t="shared" si="23"/>
        <v>8.8252677579969205</v>
      </c>
      <c r="Q55" s="32">
        <f t="shared" si="24"/>
        <v>11.331100963977676</v>
      </c>
      <c r="R55" s="55"/>
    </row>
    <row r="56" spans="1:18" x14ac:dyDescent="0.3">
      <c r="A56" t="s">
        <v>75</v>
      </c>
      <c r="B56" s="31">
        <v>557.79999999999995</v>
      </c>
      <c r="C56" s="31">
        <v>100</v>
      </c>
      <c r="D56" s="31">
        <f t="shared" si="25"/>
        <v>55779.999999999993</v>
      </c>
      <c r="E56" s="24" t="s">
        <v>74</v>
      </c>
      <c r="F56" s="31">
        <v>115</v>
      </c>
      <c r="G56" s="49">
        <v>2000</v>
      </c>
      <c r="H56" s="53">
        <f t="shared" si="27"/>
        <v>285780</v>
      </c>
      <c r="I56" s="23">
        <v>5000</v>
      </c>
      <c r="J56" s="27">
        <f t="shared" si="26"/>
        <v>23578</v>
      </c>
      <c r="K56" s="28">
        <f t="shared" si="28"/>
        <v>57156</v>
      </c>
      <c r="L56" s="29">
        <f t="shared" si="21"/>
        <v>5556.833333333333</v>
      </c>
      <c r="M56" s="30"/>
      <c r="N56" s="31">
        <v>250</v>
      </c>
      <c r="O56" s="31">
        <f t="shared" si="22"/>
        <v>24637.5</v>
      </c>
      <c r="P56" s="54">
        <f t="shared" si="23"/>
        <v>8.6211421373084178</v>
      </c>
      <c r="Q56" s="32">
        <f t="shared" si="24"/>
        <v>11.599391171993911</v>
      </c>
      <c r="R56" s="55"/>
    </row>
    <row r="57" spans="1:18" x14ac:dyDescent="0.3">
      <c r="A57" t="s">
        <v>76</v>
      </c>
      <c r="B57" s="31">
        <v>591.5</v>
      </c>
      <c r="C57" s="31">
        <v>100</v>
      </c>
      <c r="D57" s="31">
        <f t="shared" si="25"/>
        <v>59150</v>
      </c>
      <c r="E57" s="24" t="s">
        <v>74</v>
      </c>
      <c r="F57" s="31">
        <v>115</v>
      </c>
      <c r="G57" s="49">
        <v>2000</v>
      </c>
      <c r="H57" s="53">
        <f t="shared" si="27"/>
        <v>289150</v>
      </c>
      <c r="I57" s="23">
        <v>5000</v>
      </c>
      <c r="J57" s="27">
        <f t="shared" si="26"/>
        <v>23915</v>
      </c>
      <c r="K57" s="28">
        <f t="shared" si="28"/>
        <v>57830</v>
      </c>
      <c r="L57" s="29">
        <f t="shared" si="21"/>
        <v>5622.3611111111113</v>
      </c>
      <c r="M57" s="30"/>
      <c r="N57" s="31">
        <v>250</v>
      </c>
      <c r="O57" s="31">
        <f t="shared" si="22"/>
        <v>24637.5</v>
      </c>
      <c r="P57" s="54">
        <f t="shared" si="23"/>
        <v>8.5206640152170152</v>
      </c>
      <c r="Q57" s="32">
        <f t="shared" si="24"/>
        <v>11.736174530695079</v>
      </c>
      <c r="R57" s="55"/>
    </row>
    <row r="58" spans="1:18" x14ac:dyDescent="0.3">
      <c r="A58" s="41" t="s">
        <v>77</v>
      </c>
      <c r="B58" s="19">
        <v>608.4</v>
      </c>
      <c r="C58" s="19">
        <v>100</v>
      </c>
      <c r="D58" s="19">
        <f t="shared" si="25"/>
        <v>60840</v>
      </c>
      <c r="E58" s="13" t="s">
        <v>74</v>
      </c>
      <c r="F58" s="19">
        <v>115</v>
      </c>
      <c r="G58" s="49">
        <v>2000</v>
      </c>
      <c r="H58" s="49">
        <f t="shared" si="27"/>
        <v>290840</v>
      </c>
      <c r="I58" s="12">
        <v>5000</v>
      </c>
      <c r="J58" s="15">
        <f>(H58*0.1)-I58</f>
        <v>24084</v>
      </c>
      <c r="K58" s="16">
        <f>H58*0.2</f>
        <v>58168</v>
      </c>
      <c r="L58" s="17">
        <f t="shared" si="21"/>
        <v>5655.2222222222226</v>
      </c>
      <c r="M58" s="18">
        <f>(H58*0.08)/12</f>
        <v>1938.9333333333334</v>
      </c>
      <c r="N58" s="19">
        <v>250</v>
      </c>
      <c r="O58" s="19">
        <f t="shared" si="22"/>
        <v>24637.5</v>
      </c>
      <c r="P58" s="51">
        <f t="shared" si="23"/>
        <v>8.4711525237243848</v>
      </c>
      <c r="Q58" s="20">
        <f t="shared" si="24"/>
        <v>11.804769152714359</v>
      </c>
      <c r="R58" s="52"/>
    </row>
    <row r="59" spans="1:18" x14ac:dyDescent="0.3">
      <c r="A59" s="41" t="s">
        <v>78</v>
      </c>
      <c r="B59" s="19">
        <v>609.79999999999995</v>
      </c>
      <c r="C59" s="19">
        <v>100</v>
      </c>
      <c r="D59" s="19">
        <f t="shared" si="25"/>
        <v>60979.999999999993</v>
      </c>
      <c r="E59" s="13" t="s">
        <v>74</v>
      </c>
      <c r="F59" s="19">
        <v>115</v>
      </c>
      <c r="G59" s="49">
        <v>2000</v>
      </c>
      <c r="H59" s="49">
        <f t="shared" si="27"/>
        <v>290980</v>
      </c>
      <c r="I59" s="12">
        <v>5000</v>
      </c>
      <c r="J59" s="15">
        <f>(H59*0.1)-I59</f>
        <v>24098</v>
      </c>
      <c r="K59" s="16">
        <f>H59*0.2</f>
        <v>58196</v>
      </c>
      <c r="L59" s="17">
        <f t="shared" si="21"/>
        <v>5657.9444444444443</v>
      </c>
      <c r="M59" s="18">
        <f>(H59*0.08)/12</f>
        <v>1939.8666666666668</v>
      </c>
      <c r="N59" s="19">
        <v>250</v>
      </c>
      <c r="O59" s="19">
        <f t="shared" si="22"/>
        <v>24637.5</v>
      </c>
      <c r="P59" s="51">
        <f t="shared" si="23"/>
        <v>8.4670767750360856</v>
      </c>
      <c r="Q59" s="20">
        <f t="shared" si="24"/>
        <v>11.810451547437848</v>
      </c>
      <c r="R59" s="52"/>
    </row>
    <row r="60" spans="1:18" x14ac:dyDescent="0.3">
      <c r="A60" t="s">
        <v>79</v>
      </c>
      <c r="B60" s="31">
        <v>580.20000000000005</v>
      </c>
      <c r="C60" s="31">
        <v>100</v>
      </c>
      <c r="D60" s="31">
        <f t="shared" si="25"/>
        <v>58020.000000000007</v>
      </c>
      <c r="E60" s="24" t="s">
        <v>74</v>
      </c>
      <c r="F60" s="31">
        <v>115</v>
      </c>
      <c r="G60" s="56">
        <v>2000</v>
      </c>
      <c r="H60" s="53">
        <f t="shared" si="27"/>
        <v>288020</v>
      </c>
      <c r="I60" s="23">
        <v>5000</v>
      </c>
      <c r="J60" s="27">
        <f t="shared" si="26"/>
        <v>23802</v>
      </c>
      <c r="K60" s="28">
        <f>H60*0.2</f>
        <v>57604</v>
      </c>
      <c r="L60" s="29">
        <f t="shared" si="21"/>
        <v>5600.3888888888887</v>
      </c>
      <c r="M60" s="30"/>
      <c r="N60" s="31">
        <v>250</v>
      </c>
      <c r="O60" s="31">
        <f t="shared" si="22"/>
        <v>24637.5</v>
      </c>
      <c r="P60" s="54">
        <f t="shared" si="23"/>
        <v>8.5540934657315457</v>
      </c>
      <c r="Q60" s="32">
        <f t="shared" si="24"/>
        <v>11.690309487569762</v>
      </c>
      <c r="R60" s="55"/>
    </row>
    <row r="61" spans="1:18" x14ac:dyDescent="0.3">
      <c r="A61" t="s">
        <v>80</v>
      </c>
      <c r="B61" s="31">
        <v>567.20000000000005</v>
      </c>
      <c r="C61" s="31">
        <v>100</v>
      </c>
      <c r="D61" s="31">
        <f t="shared" si="25"/>
        <v>56720.000000000007</v>
      </c>
      <c r="E61" s="24" t="s">
        <v>74</v>
      </c>
      <c r="F61" s="31">
        <v>115</v>
      </c>
      <c r="G61" s="56">
        <v>2000</v>
      </c>
      <c r="H61" s="53">
        <f t="shared" si="27"/>
        <v>286720</v>
      </c>
      <c r="I61" s="23">
        <v>5000</v>
      </c>
      <c r="J61" s="27">
        <f t="shared" si="26"/>
        <v>23672</v>
      </c>
      <c r="K61" s="28">
        <f t="shared" ref="K61:K67" si="29">H61*0.2</f>
        <v>57344</v>
      </c>
      <c r="L61" s="29">
        <f t="shared" si="21"/>
        <v>5575.1111111111113</v>
      </c>
      <c r="M61" s="30"/>
      <c r="N61" s="31">
        <v>250</v>
      </c>
      <c r="O61" s="31">
        <f t="shared" si="22"/>
        <v>24637.5</v>
      </c>
      <c r="P61" s="54">
        <f t="shared" si="23"/>
        <v>8.5928780691964288</v>
      </c>
      <c r="Q61" s="32">
        <f t="shared" si="24"/>
        <v>11.637544393708778</v>
      </c>
      <c r="R61" s="55"/>
    </row>
    <row r="62" spans="1:18" x14ac:dyDescent="0.3">
      <c r="A62" t="s">
        <v>81</v>
      </c>
      <c r="B62" s="31">
        <v>548</v>
      </c>
      <c r="C62" s="31">
        <v>100</v>
      </c>
      <c r="D62" s="31">
        <f t="shared" si="25"/>
        <v>54800</v>
      </c>
      <c r="E62" s="24" t="s">
        <v>74</v>
      </c>
      <c r="F62" s="31">
        <v>115</v>
      </c>
      <c r="G62" s="56">
        <v>2000</v>
      </c>
      <c r="H62" s="53">
        <f t="shared" si="27"/>
        <v>284800</v>
      </c>
      <c r="I62" s="23">
        <v>5000</v>
      </c>
      <c r="J62" s="27">
        <f t="shared" si="26"/>
        <v>23480</v>
      </c>
      <c r="K62" s="28">
        <f t="shared" si="29"/>
        <v>56960</v>
      </c>
      <c r="L62" s="29">
        <f t="shared" si="21"/>
        <v>5537.7777777777774</v>
      </c>
      <c r="M62" s="30"/>
      <c r="N62" s="31">
        <v>250</v>
      </c>
      <c r="O62" s="31">
        <f t="shared" si="22"/>
        <v>24637.5</v>
      </c>
      <c r="P62" s="54">
        <f t="shared" si="23"/>
        <v>8.6508075842696623</v>
      </c>
      <c r="Q62" s="32">
        <f t="shared" si="24"/>
        <v>11.559614408929477</v>
      </c>
      <c r="R62" s="55"/>
    </row>
    <row r="63" spans="1:18" x14ac:dyDescent="0.3">
      <c r="A63" t="s">
        <v>82</v>
      </c>
      <c r="B63" s="31">
        <v>511.9</v>
      </c>
      <c r="C63" s="31">
        <v>100</v>
      </c>
      <c r="D63" s="31">
        <f t="shared" si="25"/>
        <v>51190</v>
      </c>
      <c r="E63" s="24" t="s">
        <v>74</v>
      </c>
      <c r="F63" s="31">
        <v>115</v>
      </c>
      <c r="G63" s="56">
        <v>2000</v>
      </c>
      <c r="H63" s="53">
        <f t="shared" si="27"/>
        <v>281190</v>
      </c>
      <c r="I63" s="23">
        <v>5000</v>
      </c>
      <c r="J63" s="27">
        <f t="shared" si="26"/>
        <v>23119</v>
      </c>
      <c r="K63" s="28">
        <f t="shared" si="29"/>
        <v>56238</v>
      </c>
      <c r="L63" s="29">
        <f t="shared" si="21"/>
        <v>5467.583333333333</v>
      </c>
      <c r="M63" s="30"/>
      <c r="N63" s="31">
        <v>250</v>
      </c>
      <c r="O63" s="31">
        <f t="shared" si="22"/>
        <v>24637.5</v>
      </c>
      <c r="P63" s="54">
        <f t="shared" si="23"/>
        <v>8.7618691987624029</v>
      </c>
      <c r="Q63" s="32">
        <f t="shared" si="24"/>
        <v>11.413089802130898</v>
      </c>
      <c r="R63" s="55"/>
    </row>
    <row r="64" spans="1:18" x14ac:dyDescent="0.3">
      <c r="A64" t="s">
        <v>83</v>
      </c>
      <c r="B64" s="31">
        <v>457.2</v>
      </c>
      <c r="C64" s="31">
        <v>100</v>
      </c>
      <c r="D64" s="31">
        <f t="shared" si="25"/>
        <v>45720</v>
      </c>
      <c r="E64" s="24" t="s">
        <v>74</v>
      </c>
      <c r="F64" s="31">
        <v>115</v>
      </c>
      <c r="G64" s="56">
        <v>2000</v>
      </c>
      <c r="H64" s="53">
        <f t="shared" si="27"/>
        <v>275720</v>
      </c>
      <c r="I64" s="23">
        <v>5000</v>
      </c>
      <c r="J64" s="27">
        <f t="shared" si="26"/>
        <v>22572</v>
      </c>
      <c r="K64" s="28">
        <f t="shared" si="29"/>
        <v>55144</v>
      </c>
      <c r="L64" s="29">
        <f t="shared" si="21"/>
        <v>5361.2222222222226</v>
      </c>
      <c r="M64" s="30"/>
      <c r="N64" s="31">
        <v>250</v>
      </c>
      <c r="O64" s="31">
        <f t="shared" si="22"/>
        <v>24637.5</v>
      </c>
      <c r="P64" s="54">
        <f t="shared" si="23"/>
        <v>8.9356956332511235</v>
      </c>
      <c r="Q64" s="32">
        <f t="shared" si="24"/>
        <v>11.191070522577371</v>
      </c>
      <c r="R64" s="55"/>
    </row>
    <row r="65" spans="1:18" x14ac:dyDescent="0.3">
      <c r="A65" t="s">
        <v>84</v>
      </c>
      <c r="B65" s="31">
        <v>381.9</v>
      </c>
      <c r="C65" s="31">
        <v>100</v>
      </c>
      <c r="D65" s="31">
        <f t="shared" si="25"/>
        <v>38190</v>
      </c>
      <c r="E65" s="24" t="s">
        <v>72</v>
      </c>
      <c r="F65" s="31">
        <v>85</v>
      </c>
      <c r="G65" s="56">
        <v>2000</v>
      </c>
      <c r="H65" s="53">
        <f t="shared" si="27"/>
        <v>208190</v>
      </c>
      <c r="I65" s="23">
        <v>5000</v>
      </c>
      <c r="J65" s="27">
        <f t="shared" si="26"/>
        <v>15819</v>
      </c>
      <c r="K65" s="28">
        <f t="shared" si="29"/>
        <v>41638</v>
      </c>
      <c r="L65" s="29">
        <f t="shared" si="21"/>
        <v>4048.1388888888887</v>
      </c>
      <c r="M65" s="30"/>
      <c r="N65" s="31">
        <v>200</v>
      </c>
      <c r="O65" s="31">
        <f t="shared" si="22"/>
        <v>19710</v>
      </c>
      <c r="P65" s="54">
        <f t="shared" si="23"/>
        <v>9.4673135116960481</v>
      </c>
      <c r="Q65" s="32">
        <f t="shared" si="24"/>
        <v>10.562658548959918</v>
      </c>
      <c r="R65" s="55"/>
    </row>
    <row r="66" spans="1:18" x14ac:dyDescent="0.3">
      <c r="A66" t="s">
        <v>85</v>
      </c>
      <c r="B66" s="31">
        <v>283.2</v>
      </c>
      <c r="C66" s="31">
        <v>100</v>
      </c>
      <c r="D66" s="31">
        <f t="shared" si="25"/>
        <v>28320</v>
      </c>
      <c r="E66" s="24" t="s">
        <v>86</v>
      </c>
      <c r="F66" s="31">
        <v>85</v>
      </c>
      <c r="G66" s="56">
        <v>2000</v>
      </c>
      <c r="H66" s="53">
        <f t="shared" si="27"/>
        <v>198320</v>
      </c>
      <c r="I66" s="23">
        <v>5000</v>
      </c>
      <c r="J66" s="27">
        <f t="shared" si="26"/>
        <v>14832</v>
      </c>
      <c r="K66" s="28">
        <f t="shared" si="29"/>
        <v>39664</v>
      </c>
      <c r="L66" s="29">
        <f t="shared" si="21"/>
        <v>3856.2222222222222</v>
      </c>
      <c r="M66" s="30"/>
      <c r="N66" s="31">
        <v>150</v>
      </c>
      <c r="O66" s="31">
        <f t="shared" si="22"/>
        <v>14782.5</v>
      </c>
      <c r="P66" s="54">
        <f t="shared" si="23"/>
        <v>7.453862444534086</v>
      </c>
      <c r="Q66" s="32">
        <f t="shared" si="24"/>
        <v>13.415863351936411</v>
      </c>
      <c r="R66" s="55"/>
    </row>
    <row r="67" spans="1:18" x14ac:dyDescent="0.3">
      <c r="A67" t="s">
        <v>87</v>
      </c>
      <c r="B67" s="31">
        <v>504.5</v>
      </c>
      <c r="C67" s="31">
        <v>100</v>
      </c>
      <c r="D67" s="31">
        <f t="shared" si="25"/>
        <v>50450</v>
      </c>
      <c r="E67" s="24" t="s">
        <v>74</v>
      </c>
      <c r="F67" s="31">
        <v>115</v>
      </c>
      <c r="G67" s="56">
        <v>2000</v>
      </c>
      <c r="H67" s="53">
        <f t="shared" si="27"/>
        <v>280450</v>
      </c>
      <c r="I67" s="23">
        <v>5000</v>
      </c>
      <c r="J67" s="27">
        <f t="shared" si="26"/>
        <v>23045</v>
      </c>
      <c r="K67" s="28">
        <f t="shared" si="29"/>
        <v>56090</v>
      </c>
      <c r="L67" s="29">
        <f t="shared" si="21"/>
        <v>5453.1944444444443</v>
      </c>
      <c r="M67" s="30"/>
      <c r="N67" s="31">
        <v>250</v>
      </c>
      <c r="O67" s="31">
        <f t="shared" si="22"/>
        <v>24637.5</v>
      </c>
      <c r="P67" s="54">
        <f t="shared" si="23"/>
        <v>8.7849884114815477</v>
      </c>
      <c r="Q67" s="32">
        <f t="shared" si="24"/>
        <v>11.383054287163876</v>
      </c>
      <c r="R67" s="55"/>
    </row>
    <row r="68" spans="1:18" x14ac:dyDescent="0.3">
      <c r="A68" s="41" t="s">
        <v>88</v>
      </c>
      <c r="B68" s="19">
        <v>643.20000000000005</v>
      </c>
      <c r="C68" s="19">
        <v>100</v>
      </c>
      <c r="D68" s="19">
        <f t="shared" si="25"/>
        <v>64320.000000000007</v>
      </c>
      <c r="E68" s="13" t="s">
        <v>74</v>
      </c>
      <c r="F68" s="19">
        <v>145</v>
      </c>
      <c r="G68" s="49">
        <v>2000</v>
      </c>
      <c r="H68" s="49">
        <f t="shared" si="27"/>
        <v>354320</v>
      </c>
      <c r="I68" s="12">
        <v>5000</v>
      </c>
      <c r="J68" s="15">
        <f>(H68*0.1)-I68</f>
        <v>30432</v>
      </c>
      <c r="K68" s="16">
        <f>H68*0.2</f>
        <v>70864</v>
      </c>
      <c r="L68" s="17">
        <f t="shared" si="21"/>
        <v>6889.5555555555557</v>
      </c>
      <c r="M68" s="18">
        <f>(H68*0.08)/12</f>
        <v>2362.1333333333337</v>
      </c>
      <c r="N68" s="19">
        <v>350</v>
      </c>
      <c r="O68" s="19">
        <f t="shared" si="22"/>
        <v>34492.5</v>
      </c>
      <c r="P68" s="51">
        <f t="shared" si="23"/>
        <v>9.7348442086249722</v>
      </c>
      <c r="Q68" s="20">
        <f t="shared" si="24"/>
        <v>10.27237805319997</v>
      </c>
      <c r="R68" s="52"/>
    </row>
    <row r="69" spans="1:18" x14ac:dyDescent="0.3">
      <c r="A69" t="s">
        <v>89</v>
      </c>
      <c r="B69" s="31">
        <v>538.79999999999995</v>
      </c>
      <c r="C69" s="31">
        <v>100</v>
      </c>
      <c r="D69" s="31">
        <f t="shared" si="25"/>
        <v>53879.999999999993</v>
      </c>
      <c r="E69" s="24" t="s">
        <v>74</v>
      </c>
      <c r="F69" s="31">
        <v>115</v>
      </c>
      <c r="G69" s="56">
        <v>2000</v>
      </c>
      <c r="H69" s="53">
        <f t="shared" si="27"/>
        <v>283880</v>
      </c>
      <c r="I69" s="23">
        <v>5000</v>
      </c>
      <c r="J69" s="27">
        <f t="shared" si="26"/>
        <v>23388</v>
      </c>
      <c r="K69" s="28">
        <f t="shared" ref="K69:K96" si="30">H69*0.25</f>
        <v>70970</v>
      </c>
      <c r="L69" s="29">
        <f t="shared" si="21"/>
        <v>5125.6111111111113</v>
      </c>
      <c r="M69" s="30"/>
      <c r="N69" s="31">
        <v>250</v>
      </c>
      <c r="O69" s="31">
        <f t="shared" si="22"/>
        <v>24637.5</v>
      </c>
      <c r="P69" s="54">
        <f t="shared" si="23"/>
        <v>8.6788431731717637</v>
      </c>
      <c r="Q69" s="32">
        <f t="shared" si="24"/>
        <v>11.522272957889395</v>
      </c>
      <c r="R69" s="55"/>
    </row>
    <row r="70" spans="1:18" x14ac:dyDescent="0.3">
      <c r="A70" t="s">
        <v>90</v>
      </c>
      <c r="B70" s="31">
        <v>376</v>
      </c>
      <c r="C70" s="31">
        <v>100</v>
      </c>
      <c r="D70" s="31">
        <f t="shared" si="25"/>
        <v>37600</v>
      </c>
      <c r="E70" s="24" t="s">
        <v>72</v>
      </c>
      <c r="F70" s="31">
        <v>85</v>
      </c>
      <c r="G70" s="56">
        <v>2000</v>
      </c>
      <c r="H70" s="53">
        <f t="shared" si="27"/>
        <v>207600</v>
      </c>
      <c r="I70" s="23">
        <v>5000</v>
      </c>
      <c r="J70" s="27">
        <f t="shared" si="26"/>
        <v>15760</v>
      </c>
      <c r="K70" s="28">
        <f t="shared" si="30"/>
        <v>51900</v>
      </c>
      <c r="L70" s="29">
        <f t="shared" si="21"/>
        <v>3748.3333333333335</v>
      </c>
      <c r="M70" s="30"/>
      <c r="N70" s="31">
        <v>200</v>
      </c>
      <c r="O70" s="31">
        <f t="shared" si="22"/>
        <v>19710</v>
      </c>
      <c r="P70" s="54">
        <f t="shared" si="23"/>
        <v>9.49421965317919</v>
      </c>
      <c r="Q70" s="32">
        <f t="shared" si="24"/>
        <v>10.532724505327245</v>
      </c>
      <c r="R70" s="55"/>
    </row>
    <row r="71" spans="1:18" x14ac:dyDescent="0.3">
      <c r="A71" t="s">
        <v>91</v>
      </c>
      <c r="B71" s="31">
        <v>359.3</v>
      </c>
      <c r="C71" s="31">
        <v>100</v>
      </c>
      <c r="D71" s="31">
        <f t="shared" si="25"/>
        <v>35930</v>
      </c>
      <c r="E71" s="24" t="s">
        <v>72</v>
      </c>
      <c r="F71" s="31">
        <v>85</v>
      </c>
      <c r="G71" s="56">
        <v>2000</v>
      </c>
      <c r="H71" s="53">
        <f t="shared" si="27"/>
        <v>205930</v>
      </c>
      <c r="I71" s="23">
        <v>5000</v>
      </c>
      <c r="J71" s="27">
        <f t="shared" si="26"/>
        <v>15593</v>
      </c>
      <c r="K71" s="28">
        <f t="shared" si="30"/>
        <v>51482.5</v>
      </c>
      <c r="L71" s="29">
        <f t="shared" si="21"/>
        <v>3718.1805555555557</v>
      </c>
      <c r="M71" s="30"/>
      <c r="N71" s="31">
        <v>200</v>
      </c>
      <c r="O71" s="31">
        <f t="shared" si="22"/>
        <v>19710</v>
      </c>
      <c r="P71" s="54">
        <f t="shared" si="23"/>
        <v>9.5712135191569949</v>
      </c>
      <c r="Q71" s="32">
        <f t="shared" si="24"/>
        <v>10.447995941146626</v>
      </c>
      <c r="R71" s="55"/>
    </row>
    <row r="72" spans="1:18" x14ac:dyDescent="0.3">
      <c r="A72" t="s">
        <v>92</v>
      </c>
      <c r="B72" s="31">
        <v>382.6</v>
      </c>
      <c r="C72" s="31">
        <v>100</v>
      </c>
      <c r="D72" s="31">
        <f t="shared" si="25"/>
        <v>38260</v>
      </c>
      <c r="E72" s="24" t="s">
        <v>72</v>
      </c>
      <c r="F72" s="31">
        <v>85</v>
      </c>
      <c r="G72" s="56">
        <v>2000</v>
      </c>
      <c r="H72" s="53">
        <f t="shared" si="27"/>
        <v>208260</v>
      </c>
      <c r="I72" s="23">
        <v>5000</v>
      </c>
      <c r="J72" s="27">
        <f t="shared" si="26"/>
        <v>15826</v>
      </c>
      <c r="K72" s="28">
        <f t="shared" si="30"/>
        <v>52065</v>
      </c>
      <c r="L72" s="29">
        <f t="shared" si="21"/>
        <v>3760.25</v>
      </c>
      <c r="M72" s="30"/>
      <c r="N72" s="31">
        <v>200</v>
      </c>
      <c r="O72" s="31">
        <f t="shared" si="22"/>
        <v>19710</v>
      </c>
      <c r="P72" s="54">
        <f t="shared" si="23"/>
        <v>9.4641313742437347</v>
      </c>
      <c r="Q72" s="32">
        <f t="shared" si="24"/>
        <v>10.5662100456621</v>
      </c>
      <c r="R72" s="55"/>
    </row>
    <row r="73" spans="1:18" x14ac:dyDescent="0.3">
      <c r="A73" t="s">
        <v>93</v>
      </c>
      <c r="B73" s="31">
        <v>402</v>
      </c>
      <c r="C73" s="31">
        <v>100</v>
      </c>
      <c r="D73" s="31">
        <f t="shared" si="25"/>
        <v>40200</v>
      </c>
      <c r="E73" s="24" t="s">
        <v>72</v>
      </c>
      <c r="F73" s="31">
        <v>85</v>
      </c>
      <c r="G73" s="56">
        <v>2000</v>
      </c>
      <c r="H73" s="53">
        <f t="shared" si="27"/>
        <v>210200</v>
      </c>
      <c r="I73" s="23">
        <v>5000</v>
      </c>
      <c r="J73" s="27">
        <f t="shared" si="26"/>
        <v>16020</v>
      </c>
      <c r="K73" s="28">
        <f t="shared" si="30"/>
        <v>52550</v>
      </c>
      <c r="L73" s="29">
        <f t="shared" si="21"/>
        <v>3795.2777777777778</v>
      </c>
      <c r="M73" s="30"/>
      <c r="N73" s="31">
        <v>200</v>
      </c>
      <c r="O73" s="31">
        <f t="shared" si="22"/>
        <v>19710</v>
      </c>
      <c r="P73" s="54">
        <f t="shared" si="23"/>
        <v>9.3767840152235973</v>
      </c>
      <c r="Q73" s="32">
        <f t="shared" si="24"/>
        <v>10.664637239979706</v>
      </c>
      <c r="R73" s="55"/>
    </row>
    <row r="74" spans="1:18" x14ac:dyDescent="0.3">
      <c r="A74" t="s">
        <v>94</v>
      </c>
      <c r="B74" s="31">
        <v>409.7</v>
      </c>
      <c r="C74" s="31">
        <v>100</v>
      </c>
      <c r="D74" s="31">
        <f t="shared" si="25"/>
        <v>40970</v>
      </c>
      <c r="E74" s="24" t="s">
        <v>72</v>
      </c>
      <c r="F74" s="31">
        <v>85</v>
      </c>
      <c r="G74" s="56">
        <v>2000</v>
      </c>
      <c r="H74" s="53">
        <f t="shared" si="27"/>
        <v>210970</v>
      </c>
      <c r="I74" s="23">
        <v>5000</v>
      </c>
      <c r="J74" s="27">
        <f t="shared" si="26"/>
        <v>16097</v>
      </c>
      <c r="K74" s="28">
        <f t="shared" si="30"/>
        <v>52742.5</v>
      </c>
      <c r="L74" s="29">
        <f t="shared" si="21"/>
        <v>3809.1805555555557</v>
      </c>
      <c r="M74" s="30"/>
      <c r="N74" s="31">
        <v>200</v>
      </c>
      <c r="O74" s="31">
        <f t="shared" si="22"/>
        <v>19710</v>
      </c>
      <c r="P74" s="54">
        <f t="shared" si="23"/>
        <v>9.3425605536332181</v>
      </c>
      <c r="Q74" s="32">
        <f t="shared" si="24"/>
        <v>10.703703703703704</v>
      </c>
      <c r="R74" s="55"/>
    </row>
    <row r="75" spans="1:18" x14ac:dyDescent="0.3">
      <c r="A75" t="s">
        <v>95</v>
      </c>
      <c r="B75" s="31">
        <v>406</v>
      </c>
      <c r="C75" s="31">
        <v>100</v>
      </c>
      <c r="D75" s="31">
        <f t="shared" si="25"/>
        <v>40600</v>
      </c>
      <c r="E75" s="24" t="s">
        <v>72</v>
      </c>
      <c r="F75" s="31">
        <v>85</v>
      </c>
      <c r="G75" s="56">
        <v>2000</v>
      </c>
      <c r="H75" s="53">
        <f t="shared" si="27"/>
        <v>210600</v>
      </c>
      <c r="I75" s="23">
        <v>5000</v>
      </c>
      <c r="J75" s="27">
        <f t="shared" si="26"/>
        <v>16060</v>
      </c>
      <c r="K75" s="28">
        <f t="shared" si="30"/>
        <v>52650</v>
      </c>
      <c r="L75" s="29">
        <f t="shared" si="21"/>
        <v>3802.5</v>
      </c>
      <c r="M75" s="30"/>
      <c r="N75" s="31">
        <v>200</v>
      </c>
      <c r="O75" s="31">
        <f t="shared" si="22"/>
        <v>19710</v>
      </c>
      <c r="P75" s="54">
        <f t="shared" si="23"/>
        <v>9.3589743589743595</v>
      </c>
      <c r="Q75" s="32">
        <f t="shared" si="24"/>
        <v>10.684931506849315</v>
      </c>
      <c r="R75" s="55"/>
    </row>
    <row r="76" spans="1:18" x14ac:dyDescent="0.3">
      <c r="A76" t="s">
        <v>96</v>
      </c>
      <c r="B76" s="31">
        <v>406.3</v>
      </c>
      <c r="C76" s="31">
        <v>100</v>
      </c>
      <c r="D76" s="31">
        <f t="shared" si="25"/>
        <v>40630</v>
      </c>
      <c r="E76" s="24" t="s">
        <v>72</v>
      </c>
      <c r="F76" s="31">
        <v>85</v>
      </c>
      <c r="G76" s="56">
        <v>2000</v>
      </c>
      <c r="H76" s="53">
        <f t="shared" si="27"/>
        <v>210630</v>
      </c>
      <c r="I76" s="23">
        <v>5000</v>
      </c>
      <c r="J76" s="27">
        <f t="shared" si="26"/>
        <v>16063</v>
      </c>
      <c r="K76" s="28">
        <f t="shared" si="30"/>
        <v>52657.5</v>
      </c>
      <c r="L76" s="29">
        <f t="shared" si="21"/>
        <v>3803.0416666666665</v>
      </c>
      <c r="M76" s="30"/>
      <c r="N76" s="31">
        <v>200</v>
      </c>
      <c r="O76" s="31">
        <f t="shared" si="22"/>
        <v>19710</v>
      </c>
      <c r="P76" s="54">
        <f t="shared" si="23"/>
        <v>9.3576413616293976</v>
      </c>
      <c r="Q76" s="32">
        <f t="shared" si="24"/>
        <v>10.686453576864535</v>
      </c>
      <c r="R76" s="55"/>
    </row>
    <row r="77" spans="1:18" x14ac:dyDescent="0.3">
      <c r="A77" s="41" t="s">
        <v>97</v>
      </c>
      <c r="B77" s="19">
        <v>600.70000000000005</v>
      </c>
      <c r="C77" s="19">
        <v>100</v>
      </c>
      <c r="D77" s="19">
        <f t="shared" si="25"/>
        <v>60070.000000000007</v>
      </c>
      <c r="E77" s="13" t="s">
        <v>74</v>
      </c>
      <c r="F77" s="19">
        <v>115</v>
      </c>
      <c r="G77" s="49">
        <v>2000</v>
      </c>
      <c r="H77" s="49">
        <f t="shared" si="27"/>
        <v>290070</v>
      </c>
      <c r="I77" s="12">
        <v>5000</v>
      </c>
      <c r="J77" s="15">
        <f>(H77*0.1)-I77</f>
        <v>24007</v>
      </c>
      <c r="K77" s="16">
        <f>H77*0.2</f>
        <v>58014</v>
      </c>
      <c r="L77" s="17">
        <f t="shared" si="21"/>
        <v>5640.25</v>
      </c>
      <c r="M77" s="18">
        <f>(H77*0.08)/12</f>
        <v>1933.8000000000002</v>
      </c>
      <c r="N77" s="19">
        <v>250</v>
      </c>
      <c r="O77" s="19">
        <f t="shared" si="22"/>
        <v>24637.5</v>
      </c>
      <c r="P77" s="51">
        <f t="shared" si="23"/>
        <v>8.4936394663357113</v>
      </c>
      <c r="Q77" s="20">
        <f t="shared" si="24"/>
        <v>11.77351598173516</v>
      </c>
      <c r="R77" s="52"/>
    </row>
    <row r="78" spans="1:18" x14ac:dyDescent="0.3">
      <c r="A78" t="s">
        <v>98</v>
      </c>
      <c r="B78" s="31">
        <v>433.3</v>
      </c>
      <c r="C78" s="31">
        <v>100</v>
      </c>
      <c r="D78" s="31">
        <f t="shared" si="25"/>
        <v>43330</v>
      </c>
      <c r="E78" s="24" t="s">
        <v>72</v>
      </c>
      <c r="F78" s="31">
        <v>85</v>
      </c>
      <c r="G78" s="56">
        <v>2000</v>
      </c>
      <c r="H78" s="53">
        <f t="shared" si="27"/>
        <v>213330</v>
      </c>
      <c r="I78" s="23">
        <v>5000</v>
      </c>
      <c r="J78" s="27">
        <f t="shared" si="26"/>
        <v>16333</v>
      </c>
      <c r="K78" s="28">
        <f t="shared" si="30"/>
        <v>53332.5</v>
      </c>
      <c r="L78" s="29">
        <f t="shared" si="21"/>
        <v>3851.7916666666665</v>
      </c>
      <c r="M78" s="30"/>
      <c r="N78" s="31">
        <v>200</v>
      </c>
      <c r="O78" s="31">
        <f t="shared" si="22"/>
        <v>19710</v>
      </c>
      <c r="P78" s="54">
        <f t="shared" si="23"/>
        <v>9.2392068626072277</v>
      </c>
      <c r="Q78" s="32">
        <f t="shared" si="24"/>
        <v>10.823439878234399</v>
      </c>
      <c r="R78" s="55"/>
    </row>
    <row r="79" spans="1:18" x14ac:dyDescent="0.3">
      <c r="A79" t="s">
        <v>99</v>
      </c>
      <c r="B79" s="31">
        <v>426.8</v>
      </c>
      <c r="C79" s="31">
        <v>100</v>
      </c>
      <c r="D79" s="31">
        <f t="shared" si="25"/>
        <v>42680</v>
      </c>
      <c r="E79" s="24" t="s">
        <v>72</v>
      </c>
      <c r="F79" s="31">
        <v>85</v>
      </c>
      <c r="G79" s="56">
        <v>2000</v>
      </c>
      <c r="H79" s="53">
        <f t="shared" si="27"/>
        <v>212680</v>
      </c>
      <c r="I79" s="23">
        <v>5000</v>
      </c>
      <c r="J79" s="27">
        <f t="shared" si="26"/>
        <v>16268</v>
      </c>
      <c r="K79" s="28">
        <f t="shared" si="30"/>
        <v>53170</v>
      </c>
      <c r="L79" s="29">
        <f t="shared" si="21"/>
        <v>3840.0555555555557</v>
      </c>
      <c r="M79" s="30"/>
      <c r="N79" s="31">
        <v>200</v>
      </c>
      <c r="O79" s="31">
        <f t="shared" si="22"/>
        <v>19710</v>
      </c>
      <c r="P79" s="54">
        <f t="shared" si="23"/>
        <v>9.2674440473951467</v>
      </c>
      <c r="Q79" s="32">
        <f t="shared" si="24"/>
        <v>10.790461694571283</v>
      </c>
      <c r="R79" s="55"/>
    </row>
    <row r="80" spans="1:18" x14ac:dyDescent="0.3">
      <c r="A80" t="s">
        <v>100</v>
      </c>
      <c r="B80" s="31">
        <v>426.8</v>
      </c>
      <c r="C80" s="31">
        <v>100</v>
      </c>
      <c r="D80" s="31">
        <f t="shared" si="25"/>
        <v>42680</v>
      </c>
      <c r="E80" s="24" t="s">
        <v>72</v>
      </c>
      <c r="F80" s="31">
        <v>85</v>
      </c>
      <c r="G80" s="56">
        <v>2000</v>
      </c>
      <c r="H80" s="53">
        <f t="shared" si="27"/>
        <v>212680</v>
      </c>
      <c r="I80" s="23">
        <v>5000</v>
      </c>
      <c r="J80" s="27">
        <f t="shared" si="26"/>
        <v>16268</v>
      </c>
      <c r="K80" s="28">
        <f t="shared" si="30"/>
        <v>53170</v>
      </c>
      <c r="L80" s="29">
        <f t="shared" si="21"/>
        <v>3840.0555555555557</v>
      </c>
      <c r="M80" s="30"/>
      <c r="N80" s="31">
        <v>200</v>
      </c>
      <c r="O80" s="31">
        <f t="shared" si="22"/>
        <v>19710</v>
      </c>
      <c r="P80" s="54">
        <f t="shared" si="23"/>
        <v>9.2674440473951467</v>
      </c>
      <c r="Q80" s="32">
        <f t="shared" si="24"/>
        <v>10.790461694571283</v>
      </c>
      <c r="R80" s="55"/>
    </row>
    <row r="81" spans="1:18" x14ac:dyDescent="0.3">
      <c r="A81" t="s">
        <v>101</v>
      </c>
      <c r="B81" s="31">
        <v>426.8</v>
      </c>
      <c r="C81" s="31">
        <v>100</v>
      </c>
      <c r="D81" s="31">
        <f t="shared" si="25"/>
        <v>42680</v>
      </c>
      <c r="E81" s="24" t="s">
        <v>72</v>
      </c>
      <c r="F81" s="31">
        <v>85</v>
      </c>
      <c r="G81" s="56">
        <v>2000</v>
      </c>
      <c r="H81" s="53">
        <f t="shared" si="27"/>
        <v>212680</v>
      </c>
      <c r="I81" s="23">
        <v>5000</v>
      </c>
      <c r="J81" s="27">
        <f t="shared" si="26"/>
        <v>16268</v>
      </c>
      <c r="K81" s="28">
        <f t="shared" si="30"/>
        <v>53170</v>
      </c>
      <c r="L81" s="29">
        <f t="shared" si="21"/>
        <v>3840.0555555555557</v>
      </c>
      <c r="M81" s="30"/>
      <c r="N81" s="31">
        <v>200</v>
      </c>
      <c r="O81" s="31">
        <f t="shared" si="22"/>
        <v>19710</v>
      </c>
      <c r="P81" s="54">
        <f t="shared" si="23"/>
        <v>9.2674440473951467</v>
      </c>
      <c r="Q81" s="32">
        <f t="shared" si="24"/>
        <v>10.790461694571283</v>
      </c>
      <c r="R81" s="55"/>
    </row>
    <row r="82" spans="1:18" x14ac:dyDescent="0.3">
      <c r="A82" t="s">
        <v>102</v>
      </c>
      <c r="B82" s="31">
        <v>426.8</v>
      </c>
      <c r="C82" s="31">
        <v>100</v>
      </c>
      <c r="D82" s="31">
        <f t="shared" si="25"/>
        <v>42680</v>
      </c>
      <c r="E82" s="24" t="s">
        <v>72</v>
      </c>
      <c r="F82" s="31">
        <v>85</v>
      </c>
      <c r="G82" s="56">
        <v>2000</v>
      </c>
      <c r="H82" s="53">
        <f t="shared" si="27"/>
        <v>212680</v>
      </c>
      <c r="I82" s="23">
        <v>5000</v>
      </c>
      <c r="J82" s="27">
        <f t="shared" si="26"/>
        <v>16268</v>
      </c>
      <c r="K82" s="28">
        <f t="shared" si="30"/>
        <v>53170</v>
      </c>
      <c r="L82" s="29">
        <f t="shared" si="21"/>
        <v>3840.0555555555557</v>
      </c>
      <c r="M82" s="30"/>
      <c r="N82" s="31">
        <v>200</v>
      </c>
      <c r="O82" s="31">
        <f t="shared" si="22"/>
        <v>19710</v>
      </c>
      <c r="P82" s="54">
        <f t="shared" si="23"/>
        <v>9.2674440473951467</v>
      </c>
      <c r="Q82" s="32">
        <f t="shared" si="24"/>
        <v>10.790461694571283</v>
      </c>
      <c r="R82" s="55"/>
    </row>
    <row r="83" spans="1:18" x14ac:dyDescent="0.3">
      <c r="A83" t="s">
        <v>103</v>
      </c>
      <c r="B83" s="31">
        <v>426.8</v>
      </c>
      <c r="C83" s="31">
        <v>100</v>
      </c>
      <c r="D83" s="31">
        <f t="shared" si="25"/>
        <v>42680</v>
      </c>
      <c r="E83" s="24" t="s">
        <v>72</v>
      </c>
      <c r="F83" s="31">
        <v>85</v>
      </c>
      <c r="G83" s="56">
        <v>2000</v>
      </c>
      <c r="H83" s="53">
        <f t="shared" si="27"/>
        <v>212680</v>
      </c>
      <c r="I83" s="23">
        <v>5000</v>
      </c>
      <c r="J83" s="27">
        <f t="shared" si="26"/>
        <v>16268</v>
      </c>
      <c r="K83" s="28">
        <f t="shared" si="30"/>
        <v>53170</v>
      </c>
      <c r="L83" s="29">
        <f t="shared" si="21"/>
        <v>3840.0555555555557</v>
      </c>
      <c r="M83" s="30"/>
      <c r="N83" s="31">
        <v>200</v>
      </c>
      <c r="O83" s="31">
        <f t="shared" si="22"/>
        <v>19710</v>
      </c>
      <c r="P83" s="54">
        <f t="shared" si="23"/>
        <v>9.2674440473951467</v>
      </c>
      <c r="Q83" s="32">
        <f t="shared" si="24"/>
        <v>10.790461694571283</v>
      </c>
      <c r="R83" s="55"/>
    </row>
    <row r="84" spans="1:18" x14ac:dyDescent="0.3">
      <c r="A84" t="s">
        <v>104</v>
      </c>
      <c r="B84" s="31">
        <v>426.8</v>
      </c>
      <c r="C84" s="31">
        <v>100</v>
      </c>
      <c r="D84" s="31">
        <f t="shared" si="25"/>
        <v>42680</v>
      </c>
      <c r="E84" s="24" t="s">
        <v>72</v>
      </c>
      <c r="F84" s="31">
        <v>85</v>
      </c>
      <c r="G84" s="56">
        <v>2000</v>
      </c>
      <c r="H84" s="53">
        <f t="shared" si="27"/>
        <v>212680</v>
      </c>
      <c r="I84" s="23">
        <v>5000</v>
      </c>
      <c r="J84" s="27">
        <f t="shared" si="26"/>
        <v>16268</v>
      </c>
      <c r="K84" s="28">
        <f t="shared" si="30"/>
        <v>53170</v>
      </c>
      <c r="L84" s="29">
        <f t="shared" si="21"/>
        <v>3840.0555555555557</v>
      </c>
      <c r="M84" s="30"/>
      <c r="N84" s="31">
        <v>200</v>
      </c>
      <c r="O84" s="31">
        <f t="shared" si="22"/>
        <v>19710</v>
      </c>
      <c r="P84" s="54">
        <f t="shared" si="23"/>
        <v>9.2674440473951467</v>
      </c>
      <c r="Q84" s="32">
        <f t="shared" si="24"/>
        <v>10.790461694571283</v>
      </c>
      <c r="R84" s="55"/>
    </row>
    <row r="85" spans="1:18" x14ac:dyDescent="0.3">
      <c r="A85" t="s">
        <v>105</v>
      </c>
      <c r="B85" s="31">
        <v>426.8</v>
      </c>
      <c r="C85" s="31">
        <v>100</v>
      </c>
      <c r="D85" s="31">
        <f t="shared" si="25"/>
        <v>42680</v>
      </c>
      <c r="E85" s="24" t="s">
        <v>72</v>
      </c>
      <c r="F85" s="31">
        <v>85</v>
      </c>
      <c r="G85" s="56">
        <v>2000</v>
      </c>
      <c r="H85" s="53">
        <f t="shared" si="27"/>
        <v>212680</v>
      </c>
      <c r="I85" s="23">
        <v>5000</v>
      </c>
      <c r="J85" s="27">
        <f t="shared" si="26"/>
        <v>16268</v>
      </c>
      <c r="K85" s="28">
        <f t="shared" si="30"/>
        <v>53170</v>
      </c>
      <c r="L85" s="29">
        <f t="shared" si="21"/>
        <v>3840.0555555555557</v>
      </c>
      <c r="M85" s="30"/>
      <c r="N85" s="31">
        <v>200</v>
      </c>
      <c r="O85" s="31">
        <f t="shared" si="22"/>
        <v>19710</v>
      </c>
      <c r="P85" s="54">
        <f t="shared" si="23"/>
        <v>9.2674440473951467</v>
      </c>
      <c r="Q85" s="32">
        <f t="shared" si="24"/>
        <v>10.790461694571283</v>
      </c>
      <c r="R85" s="55"/>
    </row>
    <row r="86" spans="1:18" x14ac:dyDescent="0.3">
      <c r="A86" t="s">
        <v>106</v>
      </c>
      <c r="B86" s="31">
        <v>426.8</v>
      </c>
      <c r="C86" s="31">
        <v>100</v>
      </c>
      <c r="D86" s="31">
        <f t="shared" si="25"/>
        <v>42680</v>
      </c>
      <c r="E86" s="24" t="s">
        <v>72</v>
      </c>
      <c r="F86" s="31">
        <v>85</v>
      </c>
      <c r="G86" s="56">
        <v>2000</v>
      </c>
      <c r="H86" s="53">
        <f t="shared" si="27"/>
        <v>212680</v>
      </c>
      <c r="I86" s="23">
        <v>5000</v>
      </c>
      <c r="J86" s="27">
        <f t="shared" si="26"/>
        <v>16268</v>
      </c>
      <c r="K86" s="28">
        <f t="shared" si="30"/>
        <v>53170</v>
      </c>
      <c r="L86" s="29">
        <f t="shared" si="21"/>
        <v>3840.0555555555557</v>
      </c>
      <c r="M86" s="30"/>
      <c r="N86" s="31">
        <v>200</v>
      </c>
      <c r="O86" s="31">
        <f t="shared" si="22"/>
        <v>19710</v>
      </c>
      <c r="P86" s="54">
        <f t="shared" si="23"/>
        <v>9.2674440473951467</v>
      </c>
      <c r="Q86" s="32">
        <f t="shared" si="24"/>
        <v>10.790461694571283</v>
      </c>
      <c r="R86" s="55"/>
    </row>
    <row r="87" spans="1:18" x14ac:dyDescent="0.3">
      <c r="A87" t="s">
        <v>107</v>
      </c>
      <c r="B87" s="31">
        <v>426.8</v>
      </c>
      <c r="C87" s="31">
        <v>100</v>
      </c>
      <c r="D87" s="31">
        <f t="shared" si="25"/>
        <v>42680</v>
      </c>
      <c r="E87" s="24" t="s">
        <v>72</v>
      </c>
      <c r="F87" s="31">
        <v>85</v>
      </c>
      <c r="G87" s="56">
        <v>2000</v>
      </c>
      <c r="H87" s="53">
        <f t="shared" si="27"/>
        <v>212680</v>
      </c>
      <c r="I87" s="23">
        <v>5000</v>
      </c>
      <c r="J87" s="27">
        <f t="shared" si="26"/>
        <v>16268</v>
      </c>
      <c r="K87" s="28">
        <f t="shared" si="30"/>
        <v>53170</v>
      </c>
      <c r="L87" s="29">
        <f t="shared" si="21"/>
        <v>3840.0555555555557</v>
      </c>
      <c r="M87" s="30"/>
      <c r="N87" s="31">
        <v>200</v>
      </c>
      <c r="O87" s="31">
        <f t="shared" si="22"/>
        <v>19710</v>
      </c>
      <c r="P87" s="54">
        <f t="shared" si="23"/>
        <v>9.2674440473951467</v>
      </c>
      <c r="Q87" s="32">
        <f t="shared" si="24"/>
        <v>10.790461694571283</v>
      </c>
      <c r="R87" s="55"/>
    </row>
    <row r="88" spans="1:18" x14ac:dyDescent="0.3">
      <c r="A88" t="s">
        <v>108</v>
      </c>
      <c r="B88" s="31">
        <v>426.8</v>
      </c>
      <c r="C88" s="31">
        <v>100</v>
      </c>
      <c r="D88" s="31">
        <f t="shared" si="25"/>
        <v>42680</v>
      </c>
      <c r="E88" s="24" t="s">
        <v>72</v>
      </c>
      <c r="F88" s="31">
        <v>85</v>
      </c>
      <c r="G88" s="56">
        <v>2000</v>
      </c>
      <c r="H88" s="53">
        <f t="shared" si="27"/>
        <v>212680</v>
      </c>
      <c r="I88" s="23">
        <v>5000</v>
      </c>
      <c r="J88" s="27">
        <f t="shared" si="26"/>
        <v>16268</v>
      </c>
      <c r="K88" s="28">
        <f t="shared" si="30"/>
        <v>53170</v>
      </c>
      <c r="L88" s="29">
        <f t="shared" si="21"/>
        <v>3840.0555555555557</v>
      </c>
      <c r="M88" s="30"/>
      <c r="N88" s="31">
        <v>200</v>
      </c>
      <c r="O88" s="31">
        <f t="shared" si="22"/>
        <v>19710</v>
      </c>
      <c r="P88" s="54">
        <f t="shared" si="23"/>
        <v>9.2674440473951467</v>
      </c>
      <c r="Q88" s="32">
        <f t="shared" si="24"/>
        <v>10.790461694571283</v>
      </c>
      <c r="R88" s="55"/>
    </row>
    <row r="89" spans="1:18" x14ac:dyDescent="0.3">
      <c r="A89" t="s">
        <v>109</v>
      </c>
      <c r="B89" s="31">
        <v>412.6</v>
      </c>
      <c r="C89" s="31">
        <v>100</v>
      </c>
      <c r="D89" s="31">
        <f t="shared" si="25"/>
        <v>41260</v>
      </c>
      <c r="E89" s="24" t="s">
        <v>72</v>
      </c>
      <c r="F89" s="31">
        <v>85</v>
      </c>
      <c r="G89" s="56">
        <v>2000</v>
      </c>
      <c r="H89" s="53">
        <f t="shared" si="27"/>
        <v>211260</v>
      </c>
      <c r="I89" s="23">
        <v>5000</v>
      </c>
      <c r="J89" s="27">
        <f t="shared" si="26"/>
        <v>16126</v>
      </c>
      <c r="K89" s="28">
        <f t="shared" si="30"/>
        <v>52815</v>
      </c>
      <c r="L89" s="29">
        <f t="shared" si="21"/>
        <v>3814.4166666666665</v>
      </c>
      <c r="M89" s="30"/>
      <c r="N89" s="31">
        <v>200</v>
      </c>
      <c r="O89" s="31">
        <f t="shared" si="22"/>
        <v>19710</v>
      </c>
      <c r="P89" s="54">
        <f t="shared" si="23"/>
        <v>9.3297358704913371</v>
      </c>
      <c r="Q89" s="32">
        <f t="shared" si="24"/>
        <v>10.71841704718417</v>
      </c>
      <c r="R89" s="55"/>
    </row>
    <row r="90" spans="1:18" x14ac:dyDescent="0.3">
      <c r="A90" t="s">
        <v>110</v>
      </c>
      <c r="B90" s="31">
        <v>539.70000000000005</v>
      </c>
      <c r="C90" s="31">
        <v>100</v>
      </c>
      <c r="D90" s="31">
        <f t="shared" si="25"/>
        <v>53970.000000000007</v>
      </c>
      <c r="E90" s="24" t="s">
        <v>74</v>
      </c>
      <c r="F90" s="31">
        <v>115</v>
      </c>
      <c r="G90" s="56">
        <v>2000</v>
      </c>
      <c r="H90" s="53">
        <f t="shared" si="27"/>
        <v>283970</v>
      </c>
      <c r="I90" s="23">
        <v>5000</v>
      </c>
      <c r="J90" s="27">
        <f t="shared" si="26"/>
        <v>23397</v>
      </c>
      <c r="K90" s="28">
        <f t="shared" si="30"/>
        <v>70992.5</v>
      </c>
      <c r="L90" s="29">
        <f t="shared" si="21"/>
        <v>5127.2361111111113</v>
      </c>
      <c r="M90" s="30"/>
      <c r="N90" s="31">
        <v>250</v>
      </c>
      <c r="O90" s="31">
        <f t="shared" si="22"/>
        <v>24637.5</v>
      </c>
      <c r="P90" s="54">
        <f t="shared" si="23"/>
        <v>8.6760925449871458</v>
      </c>
      <c r="Q90" s="32">
        <f t="shared" si="24"/>
        <v>11.525925925925925</v>
      </c>
      <c r="R90" s="55"/>
    </row>
    <row r="91" spans="1:18" x14ac:dyDescent="0.3">
      <c r="A91" t="s">
        <v>111</v>
      </c>
      <c r="B91" s="31">
        <v>612.6</v>
      </c>
      <c r="C91" s="31">
        <v>100</v>
      </c>
      <c r="D91" s="31">
        <f t="shared" si="25"/>
        <v>61260</v>
      </c>
      <c r="E91" s="24" t="s">
        <v>74</v>
      </c>
      <c r="F91" s="31">
        <v>115</v>
      </c>
      <c r="G91" s="56">
        <v>2000</v>
      </c>
      <c r="H91" s="53">
        <f t="shared" si="27"/>
        <v>291260</v>
      </c>
      <c r="I91" s="23">
        <v>5000</v>
      </c>
      <c r="J91" s="27">
        <f t="shared" si="26"/>
        <v>24126</v>
      </c>
      <c r="K91" s="28">
        <f t="shared" si="30"/>
        <v>72815</v>
      </c>
      <c r="L91" s="29">
        <f t="shared" si="21"/>
        <v>5258.8611111111113</v>
      </c>
      <c r="M91" s="30"/>
      <c r="N91" s="31">
        <v>250</v>
      </c>
      <c r="O91" s="31">
        <f t="shared" si="22"/>
        <v>24637.5</v>
      </c>
      <c r="P91" s="54">
        <f t="shared" si="23"/>
        <v>8.4589370322049025</v>
      </c>
      <c r="Q91" s="32">
        <f t="shared" si="24"/>
        <v>11.821816336884829</v>
      </c>
      <c r="R91" s="55"/>
    </row>
    <row r="92" spans="1:18" x14ac:dyDescent="0.3">
      <c r="A92" t="s">
        <v>112</v>
      </c>
      <c r="B92" s="31">
        <v>422.6</v>
      </c>
      <c r="C92" s="31">
        <v>100</v>
      </c>
      <c r="D92" s="31">
        <f t="shared" si="25"/>
        <v>42260</v>
      </c>
      <c r="E92" s="24" t="s">
        <v>72</v>
      </c>
      <c r="F92" s="31">
        <v>85</v>
      </c>
      <c r="G92" s="56">
        <v>2000</v>
      </c>
      <c r="H92" s="53">
        <f t="shared" si="27"/>
        <v>212260</v>
      </c>
      <c r="I92" s="23">
        <v>5000</v>
      </c>
      <c r="J92" s="27">
        <f t="shared" si="26"/>
        <v>16226</v>
      </c>
      <c r="K92" s="28">
        <f t="shared" si="30"/>
        <v>53065</v>
      </c>
      <c r="L92" s="29">
        <f t="shared" si="21"/>
        <v>3832.4722222222222</v>
      </c>
      <c r="M92" s="30"/>
      <c r="N92" s="31">
        <v>200</v>
      </c>
      <c r="O92" s="31">
        <f t="shared" si="22"/>
        <v>19710</v>
      </c>
      <c r="P92" s="54">
        <f t="shared" si="23"/>
        <v>9.2857815886177342</v>
      </c>
      <c r="Q92" s="32">
        <f t="shared" si="24"/>
        <v>10.769152714358194</v>
      </c>
      <c r="R92" s="55"/>
    </row>
    <row r="93" spans="1:18" x14ac:dyDescent="0.3">
      <c r="A93" t="s">
        <v>113</v>
      </c>
      <c r="B93" s="31">
        <v>487.1</v>
      </c>
      <c r="C93" s="31">
        <v>100</v>
      </c>
      <c r="D93" s="31">
        <f t="shared" si="25"/>
        <v>48710</v>
      </c>
      <c r="E93" s="24" t="s">
        <v>74</v>
      </c>
      <c r="F93" s="31">
        <v>115</v>
      </c>
      <c r="G93" s="56">
        <v>2000</v>
      </c>
      <c r="H93" s="53">
        <f t="shared" si="27"/>
        <v>278710</v>
      </c>
      <c r="I93" s="23">
        <v>5000</v>
      </c>
      <c r="J93" s="27">
        <f t="shared" si="26"/>
        <v>22871</v>
      </c>
      <c r="K93" s="28">
        <f t="shared" si="30"/>
        <v>69677.5</v>
      </c>
      <c r="L93" s="29">
        <f t="shared" si="21"/>
        <v>5032.2638888888887</v>
      </c>
      <c r="M93" s="30"/>
      <c r="N93" s="31">
        <v>250</v>
      </c>
      <c r="O93" s="31">
        <f t="shared" si="22"/>
        <v>24637.5</v>
      </c>
      <c r="P93" s="54">
        <f t="shared" si="23"/>
        <v>8.839833518711206</v>
      </c>
      <c r="Q93" s="32">
        <f t="shared" si="24"/>
        <v>11.312430238457635</v>
      </c>
      <c r="R93" s="55"/>
    </row>
    <row r="94" spans="1:18" x14ac:dyDescent="0.3">
      <c r="A94" t="s">
        <v>114</v>
      </c>
      <c r="B94" s="31">
        <v>436.5</v>
      </c>
      <c r="C94" s="31">
        <v>100</v>
      </c>
      <c r="D94" s="31">
        <f t="shared" si="25"/>
        <v>43650</v>
      </c>
      <c r="E94" s="24" t="s">
        <v>72</v>
      </c>
      <c r="F94" s="31">
        <v>85</v>
      </c>
      <c r="G94" s="56">
        <v>2000</v>
      </c>
      <c r="H94" s="53">
        <f t="shared" si="27"/>
        <v>213650</v>
      </c>
      <c r="I94" s="23">
        <v>5000</v>
      </c>
      <c r="J94" s="27">
        <f t="shared" si="26"/>
        <v>16365</v>
      </c>
      <c r="K94" s="28">
        <f t="shared" si="30"/>
        <v>53412.5</v>
      </c>
      <c r="L94" s="29">
        <f t="shared" si="21"/>
        <v>3857.5694444444443</v>
      </c>
      <c r="M94" s="30"/>
      <c r="N94" s="31">
        <v>200</v>
      </c>
      <c r="O94" s="31">
        <f t="shared" si="22"/>
        <v>19710</v>
      </c>
      <c r="P94" s="54">
        <f t="shared" si="23"/>
        <v>9.2253685934940322</v>
      </c>
      <c r="Q94" s="32">
        <f t="shared" si="24"/>
        <v>10.839675291730087</v>
      </c>
      <c r="R94" s="55"/>
    </row>
    <row r="95" spans="1:18" x14ac:dyDescent="0.3">
      <c r="A95" s="41" t="s">
        <v>115</v>
      </c>
      <c r="B95" s="19">
        <v>646.29999999999995</v>
      </c>
      <c r="C95" s="19">
        <v>100</v>
      </c>
      <c r="D95" s="19">
        <f t="shared" si="25"/>
        <v>64629.999999999993</v>
      </c>
      <c r="E95" s="13" t="s">
        <v>74</v>
      </c>
      <c r="F95" s="19">
        <v>145</v>
      </c>
      <c r="G95" s="49">
        <v>2000</v>
      </c>
      <c r="H95" s="49">
        <f t="shared" si="27"/>
        <v>354630</v>
      </c>
      <c r="I95" s="12">
        <v>5000</v>
      </c>
      <c r="J95" s="15">
        <f>(H95*0.1)-I95</f>
        <v>30463</v>
      </c>
      <c r="K95" s="16">
        <f>H95*0.2</f>
        <v>70926</v>
      </c>
      <c r="L95" s="17">
        <f t="shared" si="21"/>
        <v>6895.583333333333</v>
      </c>
      <c r="M95" s="18">
        <f>(H95*0.08)/12</f>
        <v>2364.2000000000003</v>
      </c>
      <c r="N95" s="19">
        <v>350</v>
      </c>
      <c r="O95" s="19">
        <f t="shared" si="22"/>
        <v>34492.5</v>
      </c>
      <c r="P95" s="51">
        <f t="shared" si="23"/>
        <v>9.7263344894678951</v>
      </c>
      <c r="Q95" s="20">
        <f t="shared" si="24"/>
        <v>10.281365514242227</v>
      </c>
      <c r="R95" s="52"/>
    </row>
    <row r="96" spans="1:18" x14ac:dyDescent="0.3">
      <c r="A96" t="s">
        <v>116</v>
      </c>
      <c r="B96" s="31">
        <v>400.2</v>
      </c>
      <c r="C96" s="31">
        <v>100</v>
      </c>
      <c r="D96" s="31">
        <f t="shared" si="25"/>
        <v>40020</v>
      </c>
      <c r="E96" s="24" t="s">
        <v>72</v>
      </c>
      <c r="F96" s="31">
        <v>85</v>
      </c>
      <c r="G96" s="49">
        <v>2000</v>
      </c>
      <c r="H96" s="53">
        <f t="shared" si="27"/>
        <v>210020</v>
      </c>
      <c r="I96" s="23">
        <v>5000</v>
      </c>
      <c r="J96" s="27">
        <f t="shared" si="26"/>
        <v>16002</v>
      </c>
      <c r="K96" s="28">
        <f t="shared" si="30"/>
        <v>52505</v>
      </c>
      <c r="L96" s="29">
        <f t="shared" si="21"/>
        <v>3792.0277777777778</v>
      </c>
      <c r="M96" s="30"/>
      <c r="N96" s="31">
        <v>200</v>
      </c>
      <c r="O96" s="31">
        <f t="shared" si="22"/>
        <v>19710</v>
      </c>
      <c r="P96" s="54">
        <f t="shared" si="23"/>
        <v>9.3848204932863535</v>
      </c>
      <c r="Q96" s="32">
        <f t="shared" si="24"/>
        <v>10.655504819888382</v>
      </c>
      <c r="R96" s="55"/>
    </row>
    <row r="97" spans="1:18" x14ac:dyDescent="0.3">
      <c r="B97" s="57"/>
      <c r="C97" s="57"/>
      <c r="D97" s="57"/>
      <c r="E97" s="58"/>
      <c r="G97" s="59"/>
      <c r="H97" s="59"/>
      <c r="I97" s="45"/>
      <c r="J97" s="60"/>
      <c r="K97" s="61"/>
      <c r="L97" s="62"/>
      <c r="M97" s="63"/>
      <c r="O97" s="64"/>
      <c r="P97" s="65"/>
      <c r="Q97" s="66"/>
      <c r="R97" s="65"/>
    </row>
    <row r="98" spans="1:18" x14ac:dyDescent="0.3">
      <c r="A98" s="106" t="s">
        <v>117</v>
      </c>
      <c r="B98" s="106"/>
      <c r="C98" s="106"/>
      <c r="D98" s="106"/>
      <c r="E98" s="106"/>
      <c r="G98" s="59"/>
      <c r="H98" s="59"/>
      <c r="O98" s="64"/>
      <c r="R98" s="67"/>
    </row>
    <row r="99" spans="1:18" ht="115.2" x14ac:dyDescent="0.3">
      <c r="A99" s="1" t="s">
        <v>0</v>
      </c>
      <c r="B99" s="1" t="s">
        <v>1</v>
      </c>
      <c r="C99" s="2" t="s">
        <v>2</v>
      </c>
      <c r="D99" s="2" t="s">
        <v>3</v>
      </c>
      <c r="E99" s="3" t="s">
        <v>4</v>
      </c>
      <c r="F99" s="1" t="s">
        <v>5</v>
      </c>
      <c r="G99" s="4" t="s">
        <v>6</v>
      </c>
      <c r="H99" s="5" t="s">
        <v>7</v>
      </c>
      <c r="I99" s="2" t="s">
        <v>8</v>
      </c>
      <c r="J99" s="6" t="s">
        <v>9</v>
      </c>
      <c r="K99" s="7" t="s">
        <v>10</v>
      </c>
      <c r="L99" s="8" t="s">
        <v>11</v>
      </c>
      <c r="M99" s="9" t="s">
        <v>12</v>
      </c>
      <c r="N99" s="1" t="s">
        <v>13</v>
      </c>
      <c r="O99" s="1" t="s">
        <v>14</v>
      </c>
      <c r="P99" s="10" t="s">
        <v>15</v>
      </c>
      <c r="Q99" s="10" t="s">
        <v>16</v>
      </c>
      <c r="R99" s="48"/>
    </row>
    <row r="100" spans="1:18" x14ac:dyDescent="0.3">
      <c r="A100" t="s">
        <v>118</v>
      </c>
      <c r="B100">
        <v>384</v>
      </c>
      <c r="C100">
        <v>80</v>
      </c>
      <c r="D100">
        <f>C100*B100</f>
        <v>30720</v>
      </c>
      <c r="E100" s="68" t="s">
        <v>72</v>
      </c>
      <c r="F100">
        <v>85</v>
      </c>
      <c r="G100" s="59">
        <v>2000</v>
      </c>
      <c r="H100" s="59">
        <f>G100*F100+D100</f>
        <v>200720</v>
      </c>
      <c r="I100" s="45">
        <v>5000</v>
      </c>
      <c r="J100" s="60">
        <f t="shared" ref="J100:J147" si="31">(H100*0.1)-I100</f>
        <v>15072</v>
      </c>
      <c r="K100" s="61">
        <f>H100*0.2</f>
        <v>40144</v>
      </c>
      <c r="L100" s="62">
        <f t="shared" ref="L100:L147" si="32">(H100-I100-J100-K100)/36</f>
        <v>3902.8888888888887</v>
      </c>
      <c r="M100" s="63"/>
      <c r="N100">
        <v>200</v>
      </c>
      <c r="O100">
        <f t="shared" ref="O100:O147" si="33">(N100*365*0.45)*0.6</f>
        <v>19710</v>
      </c>
      <c r="P100" s="65">
        <f t="shared" ref="P100:P147" si="34">(O100/H100)*100</f>
        <v>9.819649262654444</v>
      </c>
      <c r="Q100" s="66">
        <f t="shared" ref="Q100:Q147" si="35">H100/O100</f>
        <v>10.183663115169965</v>
      </c>
      <c r="R100" s="65"/>
    </row>
    <row r="101" spans="1:18" x14ac:dyDescent="0.3">
      <c r="A101" t="s">
        <v>119</v>
      </c>
      <c r="B101">
        <v>509.5</v>
      </c>
      <c r="C101">
        <v>80</v>
      </c>
      <c r="D101">
        <f t="shared" ref="D101:D147" si="36">C101*B101</f>
        <v>40760</v>
      </c>
      <c r="E101" s="68" t="s">
        <v>74</v>
      </c>
      <c r="F101">
        <v>115</v>
      </c>
      <c r="G101" s="59">
        <v>2000</v>
      </c>
      <c r="H101" s="59">
        <f t="shared" ref="H101:H147" si="37">G101*F101+D101</f>
        <v>270760</v>
      </c>
      <c r="I101" s="45">
        <v>5000</v>
      </c>
      <c r="J101" s="60">
        <f t="shared" si="31"/>
        <v>22076</v>
      </c>
      <c r="K101" s="61">
        <f t="shared" ref="K101:K147" si="38">H101*0.2</f>
        <v>54152</v>
      </c>
      <c r="L101" s="62">
        <f t="shared" si="32"/>
        <v>5264.7777777777774</v>
      </c>
      <c r="M101" s="63"/>
      <c r="N101">
        <v>250</v>
      </c>
      <c r="O101">
        <f t="shared" si="33"/>
        <v>24637.5</v>
      </c>
      <c r="P101" s="65">
        <f t="shared" si="34"/>
        <v>9.099386910917417</v>
      </c>
      <c r="Q101" s="66">
        <f t="shared" si="35"/>
        <v>10.989751395230847</v>
      </c>
      <c r="R101" s="65"/>
    </row>
    <row r="102" spans="1:18" x14ac:dyDescent="0.3">
      <c r="A102" t="s">
        <v>120</v>
      </c>
      <c r="B102">
        <v>599.20000000000005</v>
      </c>
      <c r="C102">
        <v>80</v>
      </c>
      <c r="D102">
        <f t="shared" si="36"/>
        <v>47936</v>
      </c>
      <c r="E102" s="68" t="s">
        <v>74</v>
      </c>
      <c r="F102">
        <v>115</v>
      </c>
      <c r="G102" s="59">
        <v>2000</v>
      </c>
      <c r="H102" s="59">
        <f t="shared" si="37"/>
        <v>277936</v>
      </c>
      <c r="I102" s="45">
        <v>5000</v>
      </c>
      <c r="J102" s="60">
        <f t="shared" si="31"/>
        <v>22793.600000000002</v>
      </c>
      <c r="K102" s="61">
        <f t="shared" si="38"/>
        <v>55587.200000000004</v>
      </c>
      <c r="L102" s="62">
        <f t="shared" si="32"/>
        <v>5404.3111111111102</v>
      </c>
      <c r="M102" s="63"/>
      <c r="N102">
        <v>250</v>
      </c>
      <c r="O102">
        <f t="shared" si="33"/>
        <v>24637.5</v>
      </c>
      <c r="P102" s="65">
        <f t="shared" si="34"/>
        <v>8.8644508088192957</v>
      </c>
      <c r="Q102" s="66">
        <f t="shared" si="35"/>
        <v>11.281014713343481</v>
      </c>
      <c r="R102" s="65"/>
    </row>
    <row r="103" spans="1:18" x14ac:dyDescent="0.3">
      <c r="A103" t="s">
        <v>121</v>
      </c>
      <c r="B103">
        <v>565.29999999999995</v>
      </c>
      <c r="C103">
        <v>80</v>
      </c>
      <c r="D103">
        <f t="shared" si="36"/>
        <v>45224</v>
      </c>
      <c r="E103" s="68" t="s">
        <v>74</v>
      </c>
      <c r="F103">
        <v>115</v>
      </c>
      <c r="G103" s="59">
        <v>2000</v>
      </c>
      <c r="H103" s="59">
        <f t="shared" si="37"/>
        <v>275224</v>
      </c>
      <c r="I103" s="45">
        <v>5000</v>
      </c>
      <c r="J103" s="60">
        <f t="shared" si="31"/>
        <v>22522.400000000001</v>
      </c>
      <c r="K103" s="61">
        <f t="shared" si="38"/>
        <v>55044.800000000003</v>
      </c>
      <c r="L103" s="62">
        <f t="shared" si="32"/>
        <v>5351.5777777777776</v>
      </c>
      <c r="M103" s="63"/>
      <c r="N103">
        <v>250</v>
      </c>
      <c r="O103">
        <f t="shared" si="33"/>
        <v>24637.5</v>
      </c>
      <c r="P103" s="65">
        <f t="shared" si="34"/>
        <v>8.9517992616922939</v>
      </c>
      <c r="Q103" s="66">
        <f t="shared" si="35"/>
        <v>11.17093860984272</v>
      </c>
      <c r="R103" s="65"/>
    </row>
    <row r="104" spans="1:18" x14ac:dyDescent="0.3">
      <c r="A104" t="s">
        <v>122</v>
      </c>
      <c r="B104">
        <v>491.1</v>
      </c>
      <c r="C104">
        <v>80</v>
      </c>
      <c r="D104">
        <f t="shared" si="36"/>
        <v>39288</v>
      </c>
      <c r="E104" s="68" t="s">
        <v>74</v>
      </c>
      <c r="F104">
        <v>115</v>
      </c>
      <c r="G104" s="59">
        <v>2000</v>
      </c>
      <c r="H104" s="59">
        <f t="shared" si="37"/>
        <v>269288</v>
      </c>
      <c r="I104" s="45">
        <v>5000</v>
      </c>
      <c r="J104" s="60">
        <f t="shared" si="31"/>
        <v>21928.800000000003</v>
      </c>
      <c r="K104" s="61">
        <f t="shared" si="38"/>
        <v>53857.600000000006</v>
      </c>
      <c r="L104" s="62">
        <f t="shared" si="32"/>
        <v>5236.155555555556</v>
      </c>
      <c r="M104" s="63"/>
      <c r="N104">
        <v>250</v>
      </c>
      <c r="O104">
        <f t="shared" si="33"/>
        <v>24637.5</v>
      </c>
      <c r="P104" s="65">
        <f t="shared" si="34"/>
        <v>9.149126585662934</v>
      </c>
      <c r="Q104" s="66">
        <f t="shared" si="35"/>
        <v>10.930005073566717</v>
      </c>
      <c r="R104" s="65"/>
    </row>
    <row r="105" spans="1:18" x14ac:dyDescent="0.3">
      <c r="A105" t="s">
        <v>123</v>
      </c>
      <c r="B105">
        <v>466.5</v>
      </c>
      <c r="C105">
        <v>80</v>
      </c>
      <c r="D105">
        <f t="shared" si="36"/>
        <v>37320</v>
      </c>
      <c r="E105" s="68" t="s">
        <v>74</v>
      </c>
      <c r="F105">
        <v>115</v>
      </c>
      <c r="G105" s="59">
        <v>2000</v>
      </c>
      <c r="H105" s="59">
        <f t="shared" si="37"/>
        <v>267320</v>
      </c>
      <c r="I105" s="45">
        <v>5000</v>
      </c>
      <c r="J105" s="60">
        <f t="shared" si="31"/>
        <v>21732</v>
      </c>
      <c r="K105" s="61">
        <f t="shared" si="38"/>
        <v>53464</v>
      </c>
      <c r="L105" s="62">
        <f t="shared" si="32"/>
        <v>5197.8888888888887</v>
      </c>
      <c r="M105" s="63"/>
      <c r="N105">
        <v>250</v>
      </c>
      <c r="O105">
        <f t="shared" si="33"/>
        <v>24637.5</v>
      </c>
      <c r="P105" s="65">
        <f t="shared" si="34"/>
        <v>9.2164821188089174</v>
      </c>
      <c r="Q105" s="66">
        <f t="shared" si="35"/>
        <v>10.850126839167935</v>
      </c>
      <c r="R105" s="65"/>
    </row>
    <row r="106" spans="1:18" x14ac:dyDescent="0.3">
      <c r="A106" t="s">
        <v>124</v>
      </c>
      <c r="B106">
        <v>522.9</v>
      </c>
      <c r="C106">
        <v>80</v>
      </c>
      <c r="D106">
        <f t="shared" si="36"/>
        <v>41832</v>
      </c>
      <c r="E106" s="68" t="s">
        <v>74</v>
      </c>
      <c r="F106">
        <v>115</v>
      </c>
      <c r="G106" s="59">
        <v>2000</v>
      </c>
      <c r="H106" s="59">
        <f t="shared" si="37"/>
        <v>271832</v>
      </c>
      <c r="I106" s="45">
        <v>5000</v>
      </c>
      <c r="J106" s="60">
        <f t="shared" si="31"/>
        <v>22183.200000000001</v>
      </c>
      <c r="K106" s="61">
        <f t="shared" si="38"/>
        <v>54366.400000000001</v>
      </c>
      <c r="L106" s="62">
        <f t="shared" si="32"/>
        <v>5285.6222222222223</v>
      </c>
      <c r="M106" s="63"/>
      <c r="N106">
        <v>250</v>
      </c>
      <c r="O106">
        <f t="shared" si="33"/>
        <v>24637.5</v>
      </c>
      <c r="P106" s="65">
        <f t="shared" si="34"/>
        <v>9.0635024574001584</v>
      </c>
      <c r="Q106" s="66">
        <f t="shared" si="35"/>
        <v>11.03326230339929</v>
      </c>
      <c r="R106" s="65"/>
    </row>
    <row r="107" spans="1:18" x14ac:dyDescent="0.3">
      <c r="A107" t="s">
        <v>125</v>
      </c>
      <c r="B107">
        <v>582.20000000000005</v>
      </c>
      <c r="C107">
        <v>80</v>
      </c>
      <c r="D107">
        <f t="shared" si="36"/>
        <v>46576</v>
      </c>
      <c r="E107" s="68" t="s">
        <v>74</v>
      </c>
      <c r="F107">
        <v>115</v>
      </c>
      <c r="G107" s="59">
        <v>2000</v>
      </c>
      <c r="H107" s="59">
        <f t="shared" si="37"/>
        <v>276576</v>
      </c>
      <c r="I107" s="45">
        <v>5000</v>
      </c>
      <c r="J107" s="60">
        <f t="shared" si="31"/>
        <v>22657.600000000002</v>
      </c>
      <c r="K107" s="61">
        <f t="shared" si="38"/>
        <v>55315.200000000004</v>
      </c>
      <c r="L107" s="62">
        <f t="shared" si="32"/>
        <v>5377.8666666666659</v>
      </c>
      <c r="M107" s="63"/>
      <c r="N107">
        <v>250</v>
      </c>
      <c r="O107">
        <f t="shared" si="33"/>
        <v>24637.5</v>
      </c>
      <c r="P107" s="65">
        <f t="shared" si="34"/>
        <v>8.9080397431447409</v>
      </c>
      <c r="Q107" s="66">
        <f t="shared" si="35"/>
        <v>11.225814307458142</v>
      </c>
      <c r="R107" s="65"/>
    </row>
    <row r="108" spans="1:18" x14ac:dyDescent="0.3">
      <c r="A108" t="s">
        <v>126</v>
      </c>
      <c r="B108">
        <v>557.29999999999995</v>
      </c>
      <c r="C108">
        <v>80</v>
      </c>
      <c r="D108">
        <f t="shared" si="36"/>
        <v>44584</v>
      </c>
      <c r="E108" s="68" t="s">
        <v>74</v>
      </c>
      <c r="F108">
        <v>115</v>
      </c>
      <c r="G108" s="59">
        <v>2000</v>
      </c>
      <c r="H108" s="59">
        <f t="shared" si="37"/>
        <v>274584</v>
      </c>
      <c r="I108" s="45">
        <v>5000</v>
      </c>
      <c r="J108" s="60">
        <f t="shared" si="31"/>
        <v>22458.400000000001</v>
      </c>
      <c r="K108" s="61">
        <f t="shared" si="38"/>
        <v>54916.800000000003</v>
      </c>
      <c r="L108" s="62">
        <f t="shared" si="32"/>
        <v>5339.1333333333332</v>
      </c>
      <c r="M108" s="63"/>
      <c r="N108">
        <v>250</v>
      </c>
      <c r="O108">
        <f t="shared" si="33"/>
        <v>24637.5</v>
      </c>
      <c r="P108" s="65">
        <f t="shared" si="34"/>
        <v>8.972664102788217</v>
      </c>
      <c r="Q108" s="66">
        <f t="shared" si="35"/>
        <v>11.14496194824962</v>
      </c>
      <c r="R108" s="65"/>
    </row>
    <row r="109" spans="1:18" x14ac:dyDescent="0.3">
      <c r="A109" t="s">
        <v>127</v>
      </c>
      <c r="B109">
        <v>498.4</v>
      </c>
      <c r="C109">
        <v>80</v>
      </c>
      <c r="D109">
        <f t="shared" si="36"/>
        <v>39872</v>
      </c>
      <c r="E109" s="68" t="s">
        <v>74</v>
      </c>
      <c r="F109">
        <v>115</v>
      </c>
      <c r="G109" s="59">
        <v>2000</v>
      </c>
      <c r="H109" s="59">
        <f t="shared" si="37"/>
        <v>269872</v>
      </c>
      <c r="I109" s="45">
        <v>5000</v>
      </c>
      <c r="J109" s="60">
        <f t="shared" si="31"/>
        <v>21987.200000000001</v>
      </c>
      <c r="K109" s="61">
        <f t="shared" si="38"/>
        <v>53974.400000000001</v>
      </c>
      <c r="L109" s="62">
        <f t="shared" si="32"/>
        <v>5247.5111111111109</v>
      </c>
      <c r="M109" s="63"/>
      <c r="N109">
        <v>250</v>
      </c>
      <c r="O109">
        <f t="shared" si="33"/>
        <v>24637.5</v>
      </c>
      <c r="P109" s="65">
        <f t="shared" si="34"/>
        <v>9.1293279777079501</v>
      </c>
      <c r="Q109" s="66">
        <f t="shared" si="35"/>
        <v>10.953708777270421</v>
      </c>
      <c r="R109" s="65"/>
    </row>
    <row r="110" spans="1:18" x14ac:dyDescent="0.3">
      <c r="A110" t="s">
        <v>128</v>
      </c>
      <c r="B110">
        <v>438.1</v>
      </c>
      <c r="C110">
        <v>80</v>
      </c>
      <c r="D110">
        <f t="shared" si="36"/>
        <v>35048</v>
      </c>
      <c r="E110" s="68" t="s">
        <v>72</v>
      </c>
      <c r="F110">
        <v>85</v>
      </c>
      <c r="G110" s="59">
        <v>2000</v>
      </c>
      <c r="H110" s="59">
        <f t="shared" si="37"/>
        <v>205048</v>
      </c>
      <c r="I110" s="45">
        <v>5000</v>
      </c>
      <c r="J110" s="60">
        <f t="shared" si="31"/>
        <v>15504.800000000003</v>
      </c>
      <c r="K110" s="61">
        <f t="shared" si="38"/>
        <v>41009.600000000006</v>
      </c>
      <c r="L110" s="62">
        <f t="shared" si="32"/>
        <v>3987.0444444444447</v>
      </c>
      <c r="M110" s="63"/>
      <c r="N110">
        <v>200</v>
      </c>
      <c r="O110">
        <f t="shared" si="33"/>
        <v>19710</v>
      </c>
      <c r="P110" s="65">
        <f t="shared" si="34"/>
        <v>9.6123834419257932</v>
      </c>
      <c r="Q110" s="66">
        <f t="shared" si="35"/>
        <v>10.403247082699137</v>
      </c>
      <c r="R110" s="65"/>
    </row>
    <row r="111" spans="1:18" x14ac:dyDescent="0.3">
      <c r="A111" t="s">
        <v>129</v>
      </c>
      <c r="B111">
        <v>377.7</v>
      </c>
      <c r="C111">
        <v>80</v>
      </c>
      <c r="D111">
        <f t="shared" si="36"/>
        <v>30216</v>
      </c>
      <c r="E111" s="68" t="s">
        <v>72</v>
      </c>
      <c r="F111">
        <v>85</v>
      </c>
      <c r="G111" s="59">
        <v>2000</v>
      </c>
      <c r="H111" s="59">
        <f t="shared" si="37"/>
        <v>200216</v>
      </c>
      <c r="I111" s="45">
        <v>5000</v>
      </c>
      <c r="J111" s="60">
        <f t="shared" si="31"/>
        <v>15021.600000000002</v>
      </c>
      <c r="K111" s="61">
        <f t="shared" si="38"/>
        <v>40043.200000000004</v>
      </c>
      <c r="L111" s="62">
        <f t="shared" si="32"/>
        <v>3893.0888888888885</v>
      </c>
      <c r="M111" s="63"/>
      <c r="N111">
        <v>200</v>
      </c>
      <c r="O111">
        <f t="shared" si="33"/>
        <v>19710</v>
      </c>
      <c r="P111" s="65">
        <f t="shared" si="34"/>
        <v>9.8443680824709325</v>
      </c>
      <c r="Q111" s="66">
        <f t="shared" si="35"/>
        <v>10.158092338914257</v>
      </c>
      <c r="R111" s="65"/>
    </row>
    <row r="112" spans="1:18" x14ac:dyDescent="0.3">
      <c r="A112" t="s">
        <v>130</v>
      </c>
      <c r="B112">
        <v>317.39999999999998</v>
      </c>
      <c r="C112">
        <v>80</v>
      </c>
      <c r="D112">
        <f t="shared" si="36"/>
        <v>25392</v>
      </c>
      <c r="E112" s="68" t="s">
        <v>72</v>
      </c>
      <c r="F112">
        <v>85</v>
      </c>
      <c r="G112" s="59">
        <v>2000</v>
      </c>
      <c r="H112" s="59">
        <f t="shared" si="37"/>
        <v>195392</v>
      </c>
      <c r="I112" s="45">
        <v>5000</v>
      </c>
      <c r="J112" s="60">
        <f t="shared" si="31"/>
        <v>14539.2</v>
      </c>
      <c r="K112" s="61">
        <f t="shared" si="38"/>
        <v>39078.400000000001</v>
      </c>
      <c r="L112" s="62">
        <f t="shared" si="32"/>
        <v>3799.2888888888888</v>
      </c>
      <c r="M112" s="63"/>
      <c r="N112">
        <v>200</v>
      </c>
      <c r="O112">
        <f t="shared" si="33"/>
        <v>19710</v>
      </c>
      <c r="P112" s="65">
        <f t="shared" si="34"/>
        <v>10.087414018997707</v>
      </c>
      <c r="Q112" s="66">
        <f t="shared" si="35"/>
        <v>9.9133434804667679</v>
      </c>
      <c r="R112" s="65"/>
    </row>
    <row r="113" spans="1:18" x14ac:dyDescent="0.3">
      <c r="A113" t="s">
        <v>131</v>
      </c>
      <c r="B113">
        <v>491</v>
      </c>
      <c r="C113">
        <v>80</v>
      </c>
      <c r="D113">
        <f t="shared" si="36"/>
        <v>39280</v>
      </c>
      <c r="E113" s="68" t="s">
        <v>74</v>
      </c>
      <c r="F113">
        <v>115</v>
      </c>
      <c r="G113" s="59">
        <v>2000</v>
      </c>
      <c r="H113" s="59">
        <f t="shared" si="37"/>
        <v>269280</v>
      </c>
      <c r="I113" s="45">
        <v>5000</v>
      </c>
      <c r="J113" s="60">
        <f t="shared" si="31"/>
        <v>21928</v>
      </c>
      <c r="K113" s="61">
        <f t="shared" si="38"/>
        <v>53856</v>
      </c>
      <c r="L113" s="62">
        <f t="shared" si="32"/>
        <v>5236</v>
      </c>
      <c r="M113" s="63"/>
      <c r="N113">
        <v>250</v>
      </c>
      <c r="O113">
        <f t="shared" si="33"/>
        <v>24637.5</v>
      </c>
      <c r="P113" s="65">
        <f t="shared" si="34"/>
        <v>9.1493983957219243</v>
      </c>
      <c r="Q113" s="66">
        <f t="shared" si="35"/>
        <v>10.929680365296804</v>
      </c>
      <c r="R113" s="65"/>
    </row>
    <row r="114" spans="1:18" x14ac:dyDescent="0.3">
      <c r="A114" t="s">
        <v>132</v>
      </c>
      <c r="B114">
        <v>525.70000000000005</v>
      </c>
      <c r="C114">
        <v>80</v>
      </c>
      <c r="D114">
        <f t="shared" si="36"/>
        <v>42056</v>
      </c>
      <c r="E114" s="68" t="s">
        <v>74</v>
      </c>
      <c r="F114">
        <v>115</v>
      </c>
      <c r="G114" s="59">
        <v>2000</v>
      </c>
      <c r="H114" s="59">
        <f t="shared" si="37"/>
        <v>272056</v>
      </c>
      <c r="I114" s="45">
        <v>5000</v>
      </c>
      <c r="J114" s="60">
        <f t="shared" si="31"/>
        <v>22205.600000000002</v>
      </c>
      <c r="K114" s="61">
        <f t="shared" si="38"/>
        <v>54411.200000000004</v>
      </c>
      <c r="L114" s="62">
        <f t="shared" si="32"/>
        <v>5289.9777777777772</v>
      </c>
      <c r="M114" s="63"/>
      <c r="N114">
        <v>250</v>
      </c>
      <c r="O114">
        <f t="shared" si="33"/>
        <v>24637.5</v>
      </c>
      <c r="P114" s="65">
        <f t="shared" si="34"/>
        <v>9.056039932954981</v>
      </c>
      <c r="Q114" s="66">
        <f t="shared" si="35"/>
        <v>11.042354134956875</v>
      </c>
      <c r="R114" s="65"/>
    </row>
    <row r="115" spans="1:18" x14ac:dyDescent="0.3">
      <c r="A115" t="s">
        <v>133</v>
      </c>
      <c r="B115">
        <v>570</v>
      </c>
      <c r="C115">
        <v>80</v>
      </c>
      <c r="D115">
        <f t="shared" si="36"/>
        <v>45600</v>
      </c>
      <c r="E115" s="68" t="s">
        <v>74</v>
      </c>
      <c r="F115">
        <v>115</v>
      </c>
      <c r="G115" s="59">
        <v>2000</v>
      </c>
      <c r="H115" s="59">
        <f t="shared" si="37"/>
        <v>275600</v>
      </c>
      <c r="I115" s="45">
        <v>5000</v>
      </c>
      <c r="J115" s="60">
        <f t="shared" si="31"/>
        <v>22560</v>
      </c>
      <c r="K115" s="61">
        <f t="shared" si="38"/>
        <v>55120</v>
      </c>
      <c r="L115" s="62">
        <f t="shared" si="32"/>
        <v>5358.8888888888887</v>
      </c>
      <c r="M115" s="63"/>
      <c r="N115">
        <v>250</v>
      </c>
      <c r="O115">
        <f t="shared" si="33"/>
        <v>24637.5</v>
      </c>
      <c r="P115" s="65">
        <f t="shared" si="34"/>
        <v>8.9395863570391878</v>
      </c>
      <c r="Q115" s="66">
        <f t="shared" si="35"/>
        <v>11.186199898528665</v>
      </c>
      <c r="R115" s="65"/>
    </row>
    <row r="116" spans="1:18" x14ac:dyDescent="0.3">
      <c r="A116" t="s">
        <v>134</v>
      </c>
      <c r="B116">
        <v>570</v>
      </c>
      <c r="C116">
        <v>80</v>
      </c>
      <c r="D116">
        <f t="shared" si="36"/>
        <v>45600</v>
      </c>
      <c r="E116" s="68" t="s">
        <v>74</v>
      </c>
      <c r="F116">
        <v>115</v>
      </c>
      <c r="G116" s="59">
        <v>2000</v>
      </c>
      <c r="H116" s="59">
        <f t="shared" si="37"/>
        <v>275600</v>
      </c>
      <c r="I116" s="45">
        <v>5000</v>
      </c>
      <c r="J116" s="60">
        <f t="shared" si="31"/>
        <v>22560</v>
      </c>
      <c r="K116" s="61">
        <f t="shared" si="38"/>
        <v>55120</v>
      </c>
      <c r="L116" s="62">
        <f t="shared" si="32"/>
        <v>5358.8888888888887</v>
      </c>
      <c r="M116" s="63"/>
      <c r="N116">
        <v>250</v>
      </c>
      <c r="O116">
        <f t="shared" si="33"/>
        <v>24637.5</v>
      </c>
      <c r="P116" s="65">
        <f t="shared" si="34"/>
        <v>8.9395863570391878</v>
      </c>
      <c r="Q116" s="66">
        <f t="shared" si="35"/>
        <v>11.186199898528665</v>
      </c>
      <c r="R116" s="65"/>
    </row>
    <row r="117" spans="1:18" x14ac:dyDescent="0.3">
      <c r="A117" s="41" t="s">
        <v>135</v>
      </c>
      <c r="B117" s="41">
        <v>741.9</v>
      </c>
      <c r="C117" s="41">
        <v>80</v>
      </c>
      <c r="D117" s="41">
        <f t="shared" si="36"/>
        <v>59352</v>
      </c>
      <c r="E117" s="35" t="s">
        <v>70</v>
      </c>
      <c r="F117" s="41">
        <v>145</v>
      </c>
      <c r="G117" s="69">
        <v>2000</v>
      </c>
      <c r="H117" s="69">
        <f t="shared" si="37"/>
        <v>349352</v>
      </c>
      <c r="I117" s="34">
        <v>5000</v>
      </c>
      <c r="J117" s="37">
        <f>(H117*0.1)-I117</f>
        <v>29935.200000000004</v>
      </c>
      <c r="K117" s="38">
        <f t="shared" si="38"/>
        <v>69870.400000000009</v>
      </c>
      <c r="L117" s="39">
        <f t="shared" si="32"/>
        <v>6792.9555555555544</v>
      </c>
      <c r="M117" s="40">
        <f>(H117*0.08)/12</f>
        <v>2329.0133333333333</v>
      </c>
      <c r="N117" s="41">
        <v>350</v>
      </c>
      <c r="O117" s="41">
        <f t="shared" si="33"/>
        <v>34492.5</v>
      </c>
      <c r="P117" s="44">
        <f t="shared" si="34"/>
        <v>9.873279672078592</v>
      </c>
      <c r="Q117" s="43">
        <f t="shared" si="35"/>
        <v>10.128346742045371</v>
      </c>
      <c r="R117" s="44"/>
    </row>
    <row r="118" spans="1:18" x14ac:dyDescent="0.3">
      <c r="A118" s="41" t="s">
        <v>136</v>
      </c>
      <c r="B118" s="41">
        <v>789.9</v>
      </c>
      <c r="C118" s="41">
        <v>80</v>
      </c>
      <c r="D118" s="41">
        <f t="shared" si="36"/>
        <v>63192</v>
      </c>
      <c r="E118" s="35" t="s">
        <v>70</v>
      </c>
      <c r="F118" s="41">
        <v>145</v>
      </c>
      <c r="G118" s="69">
        <v>2000</v>
      </c>
      <c r="H118" s="69">
        <f t="shared" si="37"/>
        <v>353192</v>
      </c>
      <c r="I118" s="34">
        <v>5000</v>
      </c>
      <c r="J118" s="37">
        <f>(H118*0.1)-I118</f>
        <v>30319.200000000004</v>
      </c>
      <c r="K118" s="38">
        <f t="shared" si="38"/>
        <v>70638.400000000009</v>
      </c>
      <c r="L118" s="39">
        <f t="shared" si="32"/>
        <v>6867.6222222222214</v>
      </c>
      <c r="M118" s="40">
        <f>(H118*0.08)/12</f>
        <v>2354.6133333333332</v>
      </c>
      <c r="N118" s="41">
        <v>350</v>
      </c>
      <c r="O118" s="41">
        <f t="shared" si="33"/>
        <v>34492.5</v>
      </c>
      <c r="P118" s="44">
        <f t="shared" si="34"/>
        <v>9.7659346757570962</v>
      </c>
      <c r="Q118" s="43">
        <f t="shared" si="35"/>
        <v>10.239675291730086</v>
      </c>
      <c r="R118" s="44"/>
    </row>
    <row r="119" spans="1:18" x14ac:dyDescent="0.3">
      <c r="A119" t="s">
        <v>137</v>
      </c>
      <c r="B119">
        <v>509.8</v>
      </c>
      <c r="C119">
        <v>80</v>
      </c>
      <c r="D119">
        <f t="shared" si="36"/>
        <v>40784</v>
      </c>
      <c r="E119" s="68" t="s">
        <v>74</v>
      </c>
      <c r="F119">
        <v>115</v>
      </c>
      <c r="G119" s="59">
        <v>2000</v>
      </c>
      <c r="H119" s="59">
        <f t="shared" si="37"/>
        <v>270784</v>
      </c>
      <c r="I119" s="45">
        <v>5000</v>
      </c>
      <c r="J119" s="60">
        <f t="shared" si="31"/>
        <v>22078.400000000001</v>
      </c>
      <c r="K119" s="61">
        <f t="shared" si="38"/>
        <v>54156.800000000003</v>
      </c>
      <c r="L119" s="62">
        <f t="shared" si="32"/>
        <v>5265.2444444444445</v>
      </c>
      <c r="M119" s="63"/>
      <c r="N119">
        <v>250</v>
      </c>
      <c r="O119">
        <f t="shared" si="33"/>
        <v>24637.5</v>
      </c>
      <c r="P119" s="65">
        <f t="shared" si="34"/>
        <v>9.0985804183408181</v>
      </c>
      <c r="Q119" s="66">
        <f t="shared" si="35"/>
        <v>10.990725520040588</v>
      </c>
      <c r="R119" s="65"/>
    </row>
    <row r="120" spans="1:18" x14ac:dyDescent="0.3">
      <c r="A120" t="s">
        <v>138</v>
      </c>
      <c r="B120">
        <v>454.3</v>
      </c>
      <c r="C120">
        <v>80</v>
      </c>
      <c r="D120">
        <f t="shared" si="36"/>
        <v>36344</v>
      </c>
      <c r="E120" s="68" t="s">
        <v>74</v>
      </c>
      <c r="F120">
        <v>115</v>
      </c>
      <c r="G120" s="59">
        <v>2000</v>
      </c>
      <c r="H120" s="59">
        <f t="shared" si="37"/>
        <v>266344</v>
      </c>
      <c r="I120" s="45">
        <v>5000</v>
      </c>
      <c r="J120" s="60">
        <f t="shared" si="31"/>
        <v>21634.400000000001</v>
      </c>
      <c r="K120" s="61">
        <f t="shared" si="38"/>
        <v>53268.800000000003</v>
      </c>
      <c r="L120" s="62">
        <f t="shared" si="32"/>
        <v>5178.9111111111106</v>
      </c>
      <c r="M120" s="63"/>
      <c r="N120">
        <v>250</v>
      </c>
      <c r="O120">
        <f t="shared" si="33"/>
        <v>24637.5</v>
      </c>
      <c r="P120" s="65">
        <f t="shared" si="34"/>
        <v>9.2502553089237978</v>
      </c>
      <c r="Q120" s="66">
        <f t="shared" si="35"/>
        <v>10.810512430238457</v>
      </c>
      <c r="R120" s="65"/>
    </row>
    <row r="121" spans="1:18" x14ac:dyDescent="0.3">
      <c r="A121" t="s">
        <v>139</v>
      </c>
      <c r="B121">
        <v>369.9</v>
      </c>
      <c r="C121">
        <v>80</v>
      </c>
      <c r="D121">
        <f t="shared" si="36"/>
        <v>29592</v>
      </c>
      <c r="E121" s="68" t="s">
        <v>72</v>
      </c>
      <c r="F121">
        <v>85</v>
      </c>
      <c r="G121" s="59">
        <v>2000</v>
      </c>
      <c r="H121" s="59">
        <f t="shared" si="37"/>
        <v>199592</v>
      </c>
      <c r="I121" s="45">
        <v>5000</v>
      </c>
      <c r="J121" s="60">
        <f t="shared" si="31"/>
        <v>14959.2</v>
      </c>
      <c r="K121" s="61">
        <f t="shared" si="38"/>
        <v>39918.400000000001</v>
      </c>
      <c r="L121" s="62">
        <f t="shared" si="32"/>
        <v>3880.9555555555553</v>
      </c>
      <c r="M121" s="63"/>
      <c r="N121">
        <v>200</v>
      </c>
      <c r="O121">
        <f t="shared" si="33"/>
        <v>19710</v>
      </c>
      <c r="P121" s="65">
        <f t="shared" si="34"/>
        <v>9.875145296404666</v>
      </c>
      <c r="Q121" s="66">
        <f t="shared" si="35"/>
        <v>10.126433282597667</v>
      </c>
      <c r="R121" s="65"/>
    </row>
    <row r="122" spans="1:18" x14ac:dyDescent="0.3">
      <c r="A122" t="s">
        <v>140</v>
      </c>
      <c r="B122">
        <v>426.8</v>
      </c>
      <c r="C122">
        <v>80</v>
      </c>
      <c r="D122">
        <f t="shared" si="36"/>
        <v>34144</v>
      </c>
      <c r="E122" s="68" t="s">
        <v>72</v>
      </c>
      <c r="F122">
        <v>85</v>
      </c>
      <c r="G122" s="59">
        <v>2000</v>
      </c>
      <c r="H122" s="59">
        <f t="shared" si="37"/>
        <v>204144</v>
      </c>
      <c r="I122" s="45">
        <v>5000</v>
      </c>
      <c r="J122" s="60">
        <f t="shared" si="31"/>
        <v>15414.400000000001</v>
      </c>
      <c r="K122" s="61">
        <f t="shared" si="38"/>
        <v>40828.800000000003</v>
      </c>
      <c r="L122" s="62">
        <f t="shared" si="32"/>
        <v>3969.4666666666662</v>
      </c>
      <c r="M122" s="63"/>
      <c r="N122">
        <v>200</v>
      </c>
      <c r="O122">
        <f t="shared" si="33"/>
        <v>19710</v>
      </c>
      <c r="P122" s="65">
        <f t="shared" si="34"/>
        <v>9.6549494474488604</v>
      </c>
      <c r="Q122" s="66">
        <f t="shared" si="35"/>
        <v>10.357382039573821</v>
      </c>
      <c r="R122" s="65"/>
    </row>
    <row r="123" spans="1:18" x14ac:dyDescent="0.3">
      <c r="A123" t="s">
        <v>141</v>
      </c>
      <c r="B123">
        <v>426.8</v>
      </c>
      <c r="C123">
        <v>80</v>
      </c>
      <c r="D123">
        <f t="shared" si="36"/>
        <v>34144</v>
      </c>
      <c r="E123" s="68" t="s">
        <v>72</v>
      </c>
      <c r="F123">
        <v>85</v>
      </c>
      <c r="G123" s="59">
        <v>2000</v>
      </c>
      <c r="H123" s="59">
        <f t="shared" si="37"/>
        <v>204144</v>
      </c>
      <c r="I123" s="45">
        <v>5000</v>
      </c>
      <c r="J123" s="60">
        <f t="shared" si="31"/>
        <v>15414.400000000001</v>
      </c>
      <c r="K123" s="61">
        <f t="shared" si="38"/>
        <v>40828.800000000003</v>
      </c>
      <c r="L123" s="62">
        <f t="shared" si="32"/>
        <v>3969.4666666666662</v>
      </c>
      <c r="M123" s="63"/>
      <c r="N123">
        <v>200</v>
      </c>
      <c r="O123">
        <f t="shared" si="33"/>
        <v>19710</v>
      </c>
      <c r="P123" s="65">
        <f t="shared" si="34"/>
        <v>9.6549494474488604</v>
      </c>
      <c r="Q123" s="66">
        <f t="shared" si="35"/>
        <v>10.357382039573821</v>
      </c>
      <c r="R123" s="65"/>
    </row>
    <row r="124" spans="1:18" x14ac:dyDescent="0.3">
      <c r="A124" t="s">
        <v>142</v>
      </c>
      <c r="B124">
        <v>426.8</v>
      </c>
      <c r="C124">
        <v>80</v>
      </c>
      <c r="D124">
        <f t="shared" si="36"/>
        <v>34144</v>
      </c>
      <c r="E124" s="68" t="s">
        <v>72</v>
      </c>
      <c r="F124">
        <v>85</v>
      </c>
      <c r="G124" s="59">
        <v>2000</v>
      </c>
      <c r="H124" s="59">
        <f t="shared" si="37"/>
        <v>204144</v>
      </c>
      <c r="I124" s="45">
        <v>5000</v>
      </c>
      <c r="J124" s="60">
        <f t="shared" si="31"/>
        <v>15414.400000000001</v>
      </c>
      <c r="K124" s="61">
        <f t="shared" si="38"/>
        <v>40828.800000000003</v>
      </c>
      <c r="L124" s="62">
        <f t="shared" si="32"/>
        <v>3969.4666666666662</v>
      </c>
      <c r="M124" s="63"/>
      <c r="N124">
        <v>200</v>
      </c>
      <c r="O124">
        <f t="shared" si="33"/>
        <v>19710</v>
      </c>
      <c r="P124" s="65">
        <f t="shared" si="34"/>
        <v>9.6549494474488604</v>
      </c>
      <c r="Q124" s="66">
        <f t="shared" si="35"/>
        <v>10.357382039573821</v>
      </c>
      <c r="R124" s="65"/>
    </row>
    <row r="125" spans="1:18" x14ac:dyDescent="0.3">
      <c r="A125" t="s">
        <v>143</v>
      </c>
      <c r="B125">
        <v>426.8</v>
      </c>
      <c r="C125">
        <v>80</v>
      </c>
      <c r="D125">
        <f t="shared" si="36"/>
        <v>34144</v>
      </c>
      <c r="E125" s="68" t="s">
        <v>72</v>
      </c>
      <c r="F125">
        <v>85</v>
      </c>
      <c r="G125" s="59">
        <v>2000</v>
      </c>
      <c r="H125" s="59">
        <f t="shared" si="37"/>
        <v>204144</v>
      </c>
      <c r="I125" s="45">
        <v>5000</v>
      </c>
      <c r="J125" s="60">
        <f t="shared" si="31"/>
        <v>15414.400000000001</v>
      </c>
      <c r="K125" s="61">
        <f t="shared" si="38"/>
        <v>40828.800000000003</v>
      </c>
      <c r="L125" s="62">
        <f t="shared" si="32"/>
        <v>3969.4666666666662</v>
      </c>
      <c r="M125" s="63"/>
      <c r="N125">
        <v>200</v>
      </c>
      <c r="O125">
        <f t="shared" si="33"/>
        <v>19710</v>
      </c>
      <c r="P125" s="65">
        <f t="shared" si="34"/>
        <v>9.6549494474488604</v>
      </c>
      <c r="Q125" s="66">
        <f t="shared" si="35"/>
        <v>10.357382039573821</v>
      </c>
      <c r="R125" s="65"/>
    </row>
    <row r="126" spans="1:18" x14ac:dyDescent="0.3">
      <c r="A126" t="s">
        <v>144</v>
      </c>
      <c r="B126">
        <v>426.8</v>
      </c>
      <c r="C126">
        <v>80</v>
      </c>
      <c r="D126">
        <f t="shared" si="36"/>
        <v>34144</v>
      </c>
      <c r="E126" s="68" t="s">
        <v>72</v>
      </c>
      <c r="F126">
        <v>85</v>
      </c>
      <c r="G126" s="59">
        <v>2000</v>
      </c>
      <c r="H126" s="59">
        <f t="shared" si="37"/>
        <v>204144</v>
      </c>
      <c r="I126" s="45">
        <v>5000</v>
      </c>
      <c r="J126" s="60">
        <f t="shared" si="31"/>
        <v>15414.400000000001</v>
      </c>
      <c r="K126" s="61">
        <f t="shared" si="38"/>
        <v>40828.800000000003</v>
      </c>
      <c r="L126" s="62">
        <f t="shared" si="32"/>
        <v>3969.4666666666662</v>
      </c>
      <c r="M126" s="63"/>
      <c r="N126">
        <v>200</v>
      </c>
      <c r="O126">
        <f t="shared" si="33"/>
        <v>19710</v>
      </c>
      <c r="P126" s="65">
        <f t="shared" si="34"/>
        <v>9.6549494474488604</v>
      </c>
      <c r="Q126" s="66">
        <f t="shared" si="35"/>
        <v>10.357382039573821</v>
      </c>
      <c r="R126" s="65"/>
    </row>
    <row r="127" spans="1:18" x14ac:dyDescent="0.3">
      <c r="A127" t="s">
        <v>145</v>
      </c>
      <c r="B127">
        <v>426.8</v>
      </c>
      <c r="C127">
        <v>80</v>
      </c>
      <c r="D127">
        <f t="shared" si="36"/>
        <v>34144</v>
      </c>
      <c r="E127" s="68" t="s">
        <v>72</v>
      </c>
      <c r="F127">
        <v>85</v>
      </c>
      <c r="G127" s="59">
        <v>2000</v>
      </c>
      <c r="H127" s="59">
        <f t="shared" si="37"/>
        <v>204144</v>
      </c>
      <c r="I127" s="45">
        <v>5000</v>
      </c>
      <c r="J127" s="60">
        <f t="shared" si="31"/>
        <v>15414.400000000001</v>
      </c>
      <c r="K127" s="61">
        <f t="shared" si="38"/>
        <v>40828.800000000003</v>
      </c>
      <c r="L127" s="62">
        <f t="shared" si="32"/>
        <v>3969.4666666666662</v>
      </c>
      <c r="M127" s="63"/>
      <c r="N127">
        <v>200</v>
      </c>
      <c r="O127">
        <f t="shared" si="33"/>
        <v>19710</v>
      </c>
      <c r="P127" s="65">
        <f t="shared" si="34"/>
        <v>9.6549494474488604</v>
      </c>
      <c r="Q127" s="66">
        <f t="shared" si="35"/>
        <v>10.357382039573821</v>
      </c>
      <c r="R127" s="65"/>
    </row>
    <row r="128" spans="1:18" x14ac:dyDescent="0.3">
      <c r="A128" t="s">
        <v>146</v>
      </c>
      <c r="B128">
        <v>426.8</v>
      </c>
      <c r="C128">
        <v>80</v>
      </c>
      <c r="D128">
        <f t="shared" si="36"/>
        <v>34144</v>
      </c>
      <c r="E128" s="68" t="s">
        <v>72</v>
      </c>
      <c r="F128">
        <v>85</v>
      </c>
      <c r="G128" s="59">
        <v>2000</v>
      </c>
      <c r="H128" s="59">
        <f t="shared" si="37"/>
        <v>204144</v>
      </c>
      <c r="I128" s="45">
        <v>5000</v>
      </c>
      <c r="J128" s="60">
        <f t="shared" si="31"/>
        <v>15414.400000000001</v>
      </c>
      <c r="K128" s="61">
        <f t="shared" si="38"/>
        <v>40828.800000000003</v>
      </c>
      <c r="L128" s="62">
        <f t="shared" si="32"/>
        <v>3969.4666666666662</v>
      </c>
      <c r="M128" s="63"/>
      <c r="N128">
        <v>200</v>
      </c>
      <c r="O128">
        <f t="shared" si="33"/>
        <v>19710</v>
      </c>
      <c r="P128" s="65">
        <f t="shared" si="34"/>
        <v>9.6549494474488604</v>
      </c>
      <c r="Q128" s="66">
        <f t="shared" si="35"/>
        <v>10.357382039573821</v>
      </c>
      <c r="R128" s="65"/>
    </row>
    <row r="129" spans="1:18" x14ac:dyDescent="0.3">
      <c r="A129" t="s">
        <v>147</v>
      </c>
      <c r="B129">
        <v>426.8</v>
      </c>
      <c r="C129">
        <v>80</v>
      </c>
      <c r="D129">
        <f t="shared" si="36"/>
        <v>34144</v>
      </c>
      <c r="E129" s="68" t="s">
        <v>72</v>
      </c>
      <c r="F129">
        <v>85</v>
      </c>
      <c r="G129" s="59">
        <v>2000</v>
      </c>
      <c r="H129" s="59">
        <f t="shared" si="37"/>
        <v>204144</v>
      </c>
      <c r="I129" s="45">
        <v>5000</v>
      </c>
      <c r="J129" s="60">
        <f t="shared" si="31"/>
        <v>15414.400000000001</v>
      </c>
      <c r="K129" s="61">
        <f t="shared" si="38"/>
        <v>40828.800000000003</v>
      </c>
      <c r="L129" s="62">
        <f t="shared" si="32"/>
        <v>3969.4666666666662</v>
      </c>
      <c r="M129" s="63"/>
      <c r="N129">
        <v>200</v>
      </c>
      <c r="O129">
        <f t="shared" si="33"/>
        <v>19710</v>
      </c>
      <c r="P129" s="65">
        <f t="shared" si="34"/>
        <v>9.6549494474488604</v>
      </c>
      <c r="Q129" s="66">
        <f t="shared" si="35"/>
        <v>10.357382039573821</v>
      </c>
      <c r="R129" s="65"/>
    </row>
    <row r="130" spans="1:18" x14ac:dyDescent="0.3">
      <c r="A130" t="s">
        <v>148</v>
      </c>
      <c r="B130">
        <v>426.8</v>
      </c>
      <c r="C130">
        <v>80</v>
      </c>
      <c r="D130">
        <f t="shared" si="36"/>
        <v>34144</v>
      </c>
      <c r="E130" s="68" t="s">
        <v>72</v>
      </c>
      <c r="F130">
        <v>85</v>
      </c>
      <c r="G130" s="59">
        <v>2000</v>
      </c>
      <c r="H130" s="59">
        <f t="shared" si="37"/>
        <v>204144</v>
      </c>
      <c r="I130" s="45">
        <v>5000</v>
      </c>
      <c r="J130" s="60">
        <f t="shared" si="31"/>
        <v>15414.400000000001</v>
      </c>
      <c r="K130" s="61">
        <f t="shared" si="38"/>
        <v>40828.800000000003</v>
      </c>
      <c r="L130" s="62">
        <f t="shared" si="32"/>
        <v>3969.4666666666662</v>
      </c>
      <c r="M130" s="63"/>
      <c r="N130">
        <v>200</v>
      </c>
      <c r="O130">
        <f t="shared" si="33"/>
        <v>19710</v>
      </c>
      <c r="P130" s="65">
        <f t="shared" si="34"/>
        <v>9.6549494474488604</v>
      </c>
      <c r="Q130" s="66">
        <f t="shared" si="35"/>
        <v>10.357382039573821</v>
      </c>
      <c r="R130" s="65"/>
    </row>
    <row r="131" spans="1:18" x14ac:dyDescent="0.3">
      <c r="A131" t="s">
        <v>149</v>
      </c>
      <c r="B131">
        <v>426.8</v>
      </c>
      <c r="C131">
        <v>80</v>
      </c>
      <c r="D131">
        <f t="shared" si="36"/>
        <v>34144</v>
      </c>
      <c r="E131" s="68" t="s">
        <v>72</v>
      </c>
      <c r="F131">
        <v>85</v>
      </c>
      <c r="G131" s="59">
        <v>2000</v>
      </c>
      <c r="H131" s="59">
        <f t="shared" si="37"/>
        <v>204144</v>
      </c>
      <c r="I131" s="45">
        <v>5000</v>
      </c>
      <c r="J131" s="60">
        <f t="shared" si="31"/>
        <v>15414.400000000001</v>
      </c>
      <c r="K131" s="61">
        <f t="shared" si="38"/>
        <v>40828.800000000003</v>
      </c>
      <c r="L131" s="62">
        <f t="shared" si="32"/>
        <v>3969.4666666666662</v>
      </c>
      <c r="M131" s="63"/>
      <c r="N131">
        <v>200</v>
      </c>
      <c r="O131">
        <f t="shared" si="33"/>
        <v>19710</v>
      </c>
      <c r="P131" s="65">
        <f t="shared" si="34"/>
        <v>9.6549494474488604</v>
      </c>
      <c r="Q131" s="66">
        <f t="shared" si="35"/>
        <v>10.357382039573821</v>
      </c>
      <c r="R131" s="65"/>
    </row>
    <row r="132" spans="1:18" x14ac:dyDescent="0.3">
      <c r="A132" t="s">
        <v>150</v>
      </c>
      <c r="B132">
        <v>428.7</v>
      </c>
      <c r="C132">
        <v>80</v>
      </c>
      <c r="D132">
        <f t="shared" si="36"/>
        <v>34296</v>
      </c>
      <c r="E132" s="68" t="s">
        <v>72</v>
      </c>
      <c r="F132">
        <v>85</v>
      </c>
      <c r="G132" s="59">
        <v>2000</v>
      </c>
      <c r="H132" s="59">
        <f t="shared" si="37"/>
        <v>204296</v>
      </c>
      <c r="I132" s="45">
        <v>5000</v>
      </c>
      <c r="J132" s="60">
        <f t="shared" si="31"/>
        <v>15429.600000000002</v>
      </c>
      <c r="K132" s="61">
        <f t="shared" si="38"/>
        <v>40859.200000000004</v>
      </c>
      <c r="L132" s="62">
        <f t="shared" si="32"/>
        <v>3972.4222222222215</v>
      </c>
      <c r="M132" s="63"/>
      <c r="N132">
        <v>200</v>
      </c>
      <c r="O132">
        <f t="shared" si="33"/>
        <v>19710</v>
      </c>
      <c r="P132" s="65">
        <f t="shared" si="34"/>
        <v>9.6477659866076682</v>
      </c>
      <c r="Q132" s="66">
        <f t="shared" si="35"/>
        <v>10.365093860984272</v>
      </c>
      <c r="R132" s="65"/>
    </row>
    <row r="133" spans="1:18" x14ac:dyDescent="0.3">
      <c r="A133" t="s">
        <v>151</v>
      </c>
      <c r="B133">
        <v>467.1</v>
      </c>
      <c r="C133">
        <v>80</v>
      </c>
      <c r="D133">
        <f t="shared" si="36"/>
        <v>37368</v>
      </c>
      <c r="E133" s="68" t="s">
        <v>74</v>
      </c>
      <c r="F133">
        <v>115</v>
      </c>
      <c r="G133" s="59">
        <v>2000</v>
      </c>
      <c r="H133" s="59">
        <f t="shared" si="37"/>
        <v>267368</v>
      </c>
      <c r="I133" s="45">
        <v>5000</v>
      </c>
      <c r="J133" s="60">
        <f t="shared" si="31"/>
        <v>21736.800000000003</v>
      </c>
      <c r="K133" s="61">
        <f t="shared" si="38"/>
        <v>53473.600000000006</v>
      </c>
      <c r="L133" s="62">
        <f t="shared" si="32"/>
        <v>5198.8222222222221</v>
      </c>
      <c r="M133" s="63"/>
      <c r="N133">
        <v>250</v>
      </c>
      <c r="O133">
        <f t="shared" si="33"/>
        <v>24637.5</v>
      </c>
      <c r="P133" s="65">
        <f t="shared" si="34"/>
        <v>9.2148275036653597</v>
      </c>
      <c r="Q133" s="66">
        <f t="shared" si="35"/>
        <v>10.852075088787418</v>
      </c>
      <c r="R133" s="65"/>
    </row>
    <row r="134" spans="1:18" x14ac:dyDescent="0.3">
      <c r="A134" t="s">
        <v>152</v>
      </c>
      <c r="B134">
        <v>420</v>
      </c>
      <c r="C134">
        <v>80</v>
      </c>
      <c r="D134">
        <f t="shared" si="36"/>
        <v>33600</v>
      </c>
      <c r="E134" s="68" t="s">
        <v>72</v>
      </c>
      <c r="F134">
        <v>85</v>
      </c>
      <c r="G134" s="59">
        <v>2000</v>
      </c>
      <c r="H134" s="59">
        <f t="shared" si="37"/>
        <v>203600</v>
      </c>
      <c r="I134" s="45">
        <v>5000</v>
      </c>
      <c r="J134" s="60">
        <f t="shared" si="31"/>
        <v>15360</v>
      </c>
      <c r="K134" s="61">
        <f t="shared" si="38"/>
        <v>40720</v>
      </c>
      <c r="L134" s="62">
        <f t="shared" si="32"/>
        <v>3958.8888888888887</v>
      </c>
      <c r="M134" s="63"/>
      <c r="N134">
        <v>200</v>
      </c>
      <c r="O134">
        <f t="shared" si="33"/>
        <v>19710</v>
      </c>
      <c r="P134" s="65">
        <f t="shared" si="34"/>
        <v>9.6807465618860515</v>
      </c>
      <c r="Q134" s="66">
        <f t="shared" si="35"/>
        <v>10.329781836631152</v>
      </c>
      <c r="R134" s="65"/>
    </row>
    <row r="135" spans="1:18" x14ac:dyDescent="0.3">
      <c r="A135" t="s">
        <v>153</v>
      </c>
      <c r="B135">
        <v>420</v>
      </c>
      <c r="C135">
        <v>80</v>
      </c>
      <c r="D135">
        <f t="shared" si="36"/>
        <v>33600</v>
      </c>
      <c r="E135" s="68" t="s">
        <v>72</v>
      </c>
      <c r="F135">
        <v>85</v>
      </c>
      <c r="G135" s="59">
        <v>2000</v>
      </c>
      <c r="H135" s="59">
        <f t="shared" si="37"/>
        <v>203600</v>
      </c>
      <c r="I135" s="45">
        <v>5000</v>
      </c>
      <c r="J135" s="60">
        <f t="shared" si="31"/>
        <v>15360</v>
      </c>
      <c r="K135" s="61">
        <f t="shared" si="38"/>
        <v>40720</v>
      </c>
      <c r="L135" s="62">
        <f t="shared" si="32"/>
        <v>3958.8888888888887</v>
      </c>
      <c r="M135" s="63"/>
      <c r="N135">
        <v>200</v>
      </c>
      <c r="O135">
        <f t="shared" si="33"/>
        <v>19710</v>
      </c>
      <c r="P135" s="65">
        <f t="shared" si="34"/>
        <v>9.6807465618860515</v>
      </c>
      <c r="Q135" s="66">
        <f t="shared" si="35"/>
        <v>10.329781836631152</v>
      </c>
      <c r="R135" s="65"/>
    </row>
    <row r="136" spans="1:18" x14ac:dyDescent="0.3">
      <c r="A136" t="s">
        <v>154</v>
      </c>
      <c r="B136">
        <v>420</v>
      </c>
      <c r="C136">
        <v>80</v>
      </c>
      <c r="D136">
        <f t="shared" si="36"/>
        <v>33600</v>
      </c>
      <c r="E136" s="68" t="s">
        <v>72</v>
      </c>
      <c r="F136">
        <v>85</v>
      </c>
      <c r="G136" s="59">
        <v>2000</v>
      </c>
      <c r="H136" s="59">
        <f t="shared" si="37"/>
        <v>203600</v>
      </c>
      <c r="I136" s="45">
        <v>5000</v>
      </c>
      <c r="J136" s="60">
        <f t="shared" si="31"/>
        <v>15360</v>
      </c>
      <c r="K136" s="61">
        <f t="shared" si="38"/>
        <v>40720</v>
      </c>
      <c r="L136" s="62">
        <f t="shared" si="32"/>
        <v>3958.8888888888887</v>
      </c>
      <c r="M136" s="63"/>
      <c r="N136">
        <v>200</v>
      </c>
      <c r="O136">
        <f t="shared" si="33"/>
        <v>19710</v>
      </c>
      <c r="P136" s="65">
        <f t="shared" si="34"/>
        <v>9.6807465618860515</v>
      </c>
      <c r="Q136" s="66">
        <f t="shared" si="35"/>
        <v>10.329781836631152</v>
      </c>
      <c r="R136" s="65"/>
    </row>
    <row r="137" spans="1:18" x14ac:dyDescent="0.3">
      <c r="A137" t="s">
        <v>155</v>
      </c>
      <c r="B137">
        <v>420</v>
      </c>
      <c r="C137">
        <v>80</v>
      </c>
      <c r="D137">
        <f t="shared" si="36"/>
        <v>33600</v>
      </c>
      <c r="E137" s="68" t="s">
        <v>72</v>
      </c>
      <c r="F137">
        <v>85</v>
      </c>
      <c r="G137" s="59">
        <v>2000</v>
      </c>
      <c r="H137" s="59">
        <f t="shared" si="37"/>
        <v>203600</v>
      </c>
      <c r="I137" s="45">
        <v>5000</v>
      </c>
      <c r="J137" s="60">
        <f t="shared" si="31"/>
        <v>15360</v>
      </c>
      <c r="K137" s="61">
        <f t="shared" si="38"/>
        <v>40720</v>
      </c>
      <c r="L137" s="62">
        <f t="shared" si="32"/>
        <v>3958.8888888888887</v>
      </c>
      <c r="M137" s="63"/>
      <c r="N137">
        <v>200</v>
      </c>
      <c r="O137">
        <f t="shared" si="33"/>
        <v>19710</v>
      </c>
      <c r="P137" s="65">
        <f t="shared" si="34"/>
        <v>9.6807465618860515</v>
      </c>
      <c r="Q137" s="66">
        <f t="shared" si="35"/>
        <v>10.329781836631152</v>
      </c>
      <c r="R137" s="65"/>
    </row>
    <row r="138" spans="1:18" x14ac:dyDescent="0.3">
      <c r="A138" t="s">
        <v>156</v>
      </c>
      <c r="B138">
        <v>394.1</v>
      </c>
      <c r="C138">
        <v>80</v>
      </c>
      <c r="D138">
        <f t="shared" si="36"/>
        <v>31528</v>
      </c>
      <c r="E138" s="68" t="s">
        <v>72</v>
      </c>
      <c r="F138">
        <v>85</v>
      </c>
      <c r="G138" s="59">
        <v>2000</v>
      </c>
      <c r="H138" s="59">
        <f t="shared" si="37"/>
        <v>201528</v>
      </c>
      <c r="I138" s="45">
        <v>5000</v>
      </c>
      <c r="J138" s="60">
        <f t="shared" si="31"/>
        <v>15152.800000000003</v>
      </c>
      <c r="K138" s="61">
        <f t="shared" si="38"/>
        <v>40305.600000000006</v>
      </c>
      <c r="L138" s="62">
        <f t="shared" si="32"/>
        <v>3918.6000000000004</v>
      </c>
      <c r="M138" s="63"/>
      <c r="N138">
        <v>200</v>
      </c>
      <c r="O138">
        <f t="shared" si="33"/>
        <v>19710</v>
      </c>
      <c r="P138" s="65">
        <f t="shared" si="34"/>
        <v>9.780278670953912</v>
      </c>
      <c r="Q138" s="66">
        <f t="shared" si="35"/>
        <v>10.224657534246575</v>
      </c>
      <c r="R138" s="65"/>
    </row>
    <row r="139" spans="1:18" x14ac:dyDescent="0.3">
      <c r="A139" t="s">
        <v>157</v>
      </c>
      <c r="B139">
        <v>342.3</v>
      </c>
      <c r="C139">
        <v>80</v>
      </c>
      <c r="D139">
        <f t="shared" si="36"/>
        <v>27384</v>
      </c>
      <c r="E139" s="68" t="s">
        <v>72</v>
      </c>
      <c r="F139">
        <v>85</v>
      </c>
      <c r="G139" s="59">
        <v>2000</v>
      </c>
      <c r="H139" s="59">
        <f t="shared" si="37"/>
        <v>197384</v>
      </c>
      <c r="I139" s="45">
        <v>5000</v>
      </c>
      <c r="J139" s="60">
        <f t="shared" si="31"/>
        <v>14738.400000000001</v>
      </c>
      <c r="K139" s="61">
        <f t="shared" si="38"/>
        <v>39476.800000000003</v>
      </c>
      <c r="L139" s="62">
        <f t="shared" si="32"/>
        <v>3838.0222222222219</v>
      </c>
      <c r="M139" s="63"/>
      <c r="N139">
        <v>150</v>
      </c>
      <c r="O139">
        <f t="shared" si="33"/>
        <v>14782.5</v>
      </c>
      <c r="P139" s="65">
        <f t="shared" si="34"/>
        <v>7.4892088517812994</v>
      </c>
      <c r="Q139" s="66">
        <f t="shared" si="35"/>
        <v>13.352545239303231</v>
      </c>
      <c r="R139" s="65"/>
    </row>
    <row r="140" spans="1:18" x14ac:dyDescent="0.3">
      <c r="A140" t="s">
        <v>158</v>
      </c>
      <c r="B140">
        <v>388.7</v>
      </c>
      <c r="C140">
        <v>80</v>
      </c>
      <c r="D140">
        <f t="shared" si="36"/>
        <v>31096</v>
      </c>
      <c r="E140" s="68" t="s">
        <v>72</v>
      </c>
      <c r="F140">
        <v>85</v>
      </c>
      <c r="G140" s="59">
        <v>2000</v>
      </c>
      <c r="H140" s="59">
        <f t="shared" si="37"/>
        <v>201096</v>
      </c>
      <c r="I140" s="45">
        <v>5000</v>
      </c>
      <c r="J140" s="60">
        <f t="shared" si="31"/>
        <v>15109.600000000002</v>
      </c>
      <c r="K140" s="61">
        <f t="shared" si="38"/>
        <v>40219.200000000004</v>
      </c>
      <c r="L140" s="62">
        <f t="shared" si="32"/>
        <v>3910.1999999999994</v>
      </c>
      <c r="M140" s="63"/>
      <c r="N140">
        <v>200</v>
      </c>
      <c r="O140">
        <f t="shared" si="33"/>
        <v>19710</v>
      </c>
      <c r="P140" s="65">
        <f t="shared" si="34"/>
        <v>9.801288936627282</v>
      </c>
      <c r="Q140" s="66">
        <f t="shared" si="35"/>
        <v>10.202739726027398</v>
      </c>
      <c r="R140" s="65"/>
    </row>
    <row r="141" spans="1:18" x14ac:dyDescent="0.3">
      <c r="A141" t="s">
        <v>159</v>
      </c>
      <c r="B141">
        <v>413</v>
      </c>
      <c r="C141">
        <v>80</v>
      </c>
      <c r="D141">
        <f t="shared" si="36"/>
        <v>33040</v>
      </c>
      <c r="E141" s="68" t="s">
        <v>72</v>
      </c>
      <c r="F141">
        <v>85</v>
      </c>
      <c r="G141" s="59">
        <v>2000</v>
      </c>
      <c r="H141" s="59">
        <f t="shared" si="37"/>
        <v>203040</v>
      </c>
      <c r="I141" s="45">
        <v>5000</v>
      </c>
      <c r="J141" s="60">
        <f t="shared" si="31"/>
        <v>15304</v>
      </c>
      <c r="K141" s="61">
        <f t="shared" si="38"/>
        <v>40608</v>
      </c>
      <c r="L141" s="62">
        <f t="shared" si="32"/>
        <v>3948</v>
      </c>
      <c r="M141" s="63"/>
      <c r="N141">
        <v>200</v>
      </c>
      <c r="O141">
        <f t="shared" si="33"/>
        <v>19710</v>
      </c>
      <c r="P141" s="65">
        <f t="shared" si="34"/>
        <v>9.7074468085106371</v>
      </c>
      <c r="Q141" s="66">
        <f t="shared" si="35"/>
        <v>10.301369863013699</v>
      </c>
      <c r="R141" s="65"/>
    </row>
    <row r="142" spans="1:18" x14ac:dyDescent="0.3">
      <c r="A142" t="s">
        <v>160</v>
      </c>
      <c r="B142">
        <v>419.3</v>
      </c>
      <c r="C142">
        <v>80</v>
      </c>
      <c r="D142">
        <f t="shared" si="36"/>
        <v>33544</v>
      </c>
      <c r="E142" s="68" t="s">
        <v>72</v>
      </c>
      <c r="F142">
        <v>85</v>
      </c>
      <c r="G142" s="59">
        <v>2000</v>
      </c>
      <c r="H142" s="59">
        <f t="shared" si="37"/>
        <v>203544</v>
      </c>
      <c r="I142" s="45">
        <v>5000</v>
      </c>
      <c r="J142" s="60">
        <f t="shared" si="31"/>
        <v>15354.400000000001</v>
      </c>
      <c r="K142" s="61">
        <f t="shared" si="38"/>
        <v>40708.800000000003</v>
      </c>
      <c r="L142" s="62">
        <f t="shared" si="32"/>
        <v>3957.7999999999997</v>
      </c>
      <c r="M142" s="63"/>
      <c r="N142">
        <v>200</v>
      </c>
      <c r="O142">
        <f t="shared" si="33"/>
        <v>19710</v>
      </c>
      <c r="P142" s="65">
        <f t="shared" si="34"/>
        <v>9.683409975238769</v>
      </c>
      <c r="Q142" s="66">
        <f t="shared" si="35"/>
        <v>10.326940639269406</v>
      </c>
      <c r="R142" s="65"/>
    </row>
    <row r="143" spans="1:18" x14ac:dyDescent="0.3">
      <c r="A143" t="s">
        <v>161</v>
      </c>
      <c r="B143">
        <v>426.2</v>
      </c>
      <c r="C143">
        <v>80</v>
      </c>
      <c r="D143">
        <f t="shared" si="36"/>
        <v>34096</v>
      </c>
      <c r="E143" s="68" t="s">
        <v>72</v>
      </c>
      <c r="F143">
        <v>85</v>
      </c>
      <c r="G143" s="59">
        <v>2000</v>
      </c>
      <c r="H143" s="59">
        <f t="shared" si="37"/>
        <v>204096</v>
      </c>
      <c r="I143" s="45">
        <v>5000</v>
      </c>
      <c r="J143" s="60">
        <f t="shared" si="31"/>
        <v>15409.600000000002</v>
      </c>
      <c r="K143" s="61">
        <f t="shared" si="38"/>
        <v>40819.200000000004</v>
      </c>
      <c r="L143" s="62">
        <f t="shared" si="32"/>
        <v>3968.5333333333328</v>
      </c>
      <c r="M143" s="63"/>
      <c r="N143">
        <v>200</v>
      </c>
      <c r="O143">
        <f t="shared" si="33"/>
        <v>19710</v>
      </c>
      <c r="P143" s="65">
        <f t="shared" si="34"/>
        <v>9.6572201317027275</v>
      </c>
      <c r="Q143" s="66">
        <f t="shared" si="35"/>
        <v>10.354946727549468</v>
      </c>
      <c r="R143" s="65"/>
    </row>
    <row r="144" spans="1:18" x14ac:dyDescent="0.3">
      <c r="A144" t="s">
        <v>162</v>
      </c>
      <c r="B144">
        <v>427.8</v>
      </c>
      <c r="C144">
        <v>80</v>
      </c>
      <c r="D144">
        <f t="shared" si="36"/>
        <v>34224</v>
      </c>
      <c r="E144" t="s">
        <v>72</v>
      </c>
      <c r="F144">
        <v>85</v>
      </c>
      <c r="G144" s="59">
        <v>2000</v>
      </c>
      <c r="H144" s="59">
        <f t="shared" si="37"/>
        <v>204224</v>
      </c>
      <c r="I144" s="45">
        <v>5000</v>
      </c>
      <c r="J144" s="60">
        <f t="shared" si="31"/>
        <v>15422.400000000001</v>
      </c>
      <c r="K144" s="61">
        <f t="shared" si="38"/>
        <v>40844.800000000003</v>
      </c>
      <c r="L144" s="62">
        <f t="shared" si="32"/>
        <v>3971.0222222222219</v>
      </c>
      <c r="M144" s="63"/>
      <c r="N144">
        <v>200</v>
      </c>
      <c r="O144">
        <f t="shared" si="33"/>
        <v>19710</v>
      </c>
      <c r="P144" s="65">
        <f t="shared" si="34"/>
        <v>9.6511673456596689</v>
      </c>
      <c r="Q144" s="66">
        <f t="shared" si="35"/>
        <v>10.361440892947742</v>
      </c>
      <c r="R144" s="65"/>
    </row>
    <row r="145" spans="1:18" x14ac:dyDescent="0.3">
      <c r="A145" t="s">
        <v>163</v>
      </c>
      <c r="B145">
        <v>415.7</v>
      </c>
      <c r="C145">
        <v>80</v>
      </c>
      <c r="D145">
        <f t="shared" si="36"/>
        <v>33256</v>
      </c>
      <c r="E145" t="s">
        <v>72</v>
      </c>
      <c r="F145">
        <v>85</v>
      </c>
      <c r="G145" s="59">
        <v>2000</v>
      </c>
      <c r="H145" s="59">
        <f t="shared" si="37"/>
        <v>203256</v>
      </c>
      <c r="I145" s="45">
        <v>5000</v>
      </c>
      <c r="J145" s="60">
        <f t="shared" si="31"/>
        <v>15325.600000000002</v>
      </c>
      <c r="K145" s="61">
        <f t="shared" si="38"/>
        <v>40651.200000000004</v>
      </c>
      <c r="L145" s="62">
        <f t="shared" si="32"/>
        <v>3952.1999999999994</v>
      </c>
      <c r="M145" s="63"/>
      <c r="N145">
        <v>200</v>
      </c>
      <c r="O145">
        <f t="shared" si="33"/>
        <v>19710</v>
      </c>
      <c r="P145" s="65">
        <f t="shared" si="34"/>
        <v>9.6971307120085015</v>
      </c>
      <c r="Q145" s="66">
        <f t="shared" si="35"/>
        <v>10.312328767123288</v>
      </c>
      <c r="R145" s="65"/>
    </row>
    <row r="146" spans="1:18" x14ac:dyDescent="0.3">
      <c r="A146" t="s">
        <v>164</v>
      </c>
      <c r="B146">
        <v>474</v>
      </c>
      <c r="C146">
        <v>100</v>
      </c>
      <c r="D146">
        <f t="shared" si="36"/>
        <v>47400</v>
      </c>
      <c r="E146" t="s">
        <v>74</v>
      </c>
      <c r="F146">
        <v>115</v>
      </c>
      <c r="G146" s="59">
        <v>2000</v>
      </c>
      <c r="H146" s="59">
        <f t="shared" si="37"/>
        <v>277400</v>
      </c>
      <c r="I146" s="45">
        <v>5000</v>
      </c>
      <c r="J146" s="60">
        <f t="shared" si="31"/>
        <v>22740</v>
      </c>
      <c r="K146" s="61">
        <f t="shared" si="38"/>
        <v>55480</v>
      </c>
      <c r="L146" s="62">
        <f t="shared" si="32"/>
        <v>5393.8888888888887</v>
      </c>
      <c r="M146" s="63"/>
      <c r="N146">
        <v>250</v>
      </c>
      <c r="O146">
        <f t="shared" si="33"/>
        <v>24637.5</v>
      </c>
      <c r="P146" s="65">
        <f t="shared" si="34"/>
        <v>8.8815789473684212</v>
      </c>
      <c r="Q146" s="66">
        <f t="shared" si="35"/>
        <v>11.25925925925926</v>
      </c>
      <c r="R146" s="65"/>
    </row>
    <row r="147" spans="1:18" x14ac:dyDescent="0.3">
      <c r="A147" t="s">
        <v>165</v>
      </c>
      <c r="B147">
        <v>474</v>
      </c>
      <c r="C147">
        <v>100</v>
      </c>
      <c r="D147">
        <f t="shared" si="36"/>
        <v>47400</v>
      </c>
      <c r="E147" t="s">
        <v>74</v>
      </c>
      <c r="F147">
        <v>115</v>
      </c>
      <c r="G147" s="59">
        <v>2000</v>
      </c>
      <c r="H147" s="59">
        <f t="shared" si="37"/>
        <v>277400</v>
      </c>
      <c r="I147" s="45">
        <v>5000</v>
      </c>
      <c r="J147" s="60">
        <f t="shared" si="31"/>
        <v>22740</v>
      </c>
      <c r="K147" s="61">
        <f t="shared" si="38"/>
        <v>55480</v>
      </c>
      <c r="L147" s="62">
        <f t="shared" si="32"/>
        <v>5393.8888888888887</v>
      </c>
      <c r="M147" s="63"/>
      <c r="N147">
        <v>250</v>
      </c>
      <c r="O147">
        <f t="shared" si="33"/>
        <v>24637.5</v>
      </c>
      <c r="P147" s="65">
        <f t="shared" si="34"/>
        <v>8.8815789473684212</v>
      </c>
      <c r="Q147" s="66">
        <f t="shared" si="35"/>
        <v>11.25925925925926</v>
      </c>
      <c r="R147" s="65"/>
    </row>
    <row r="148" spans="1:18" x14ac:dyDescent="0.3">
      <c r="I148" s="45"/>
      <c r="J148" s="60"/>
      <c r="K148" s="61"/>
      <c r="L148" s="62"/>
      <c r="M148" s="63"/>
      <c r="O148" s="64"/>
      <c r="R148" s="67"/>
    </row>
    <row r="149" spans="1:18" x14ac:dyDescent="0.3">
      <c r="A149" s="106" t="s">
        <v>166</v>
      </c>
      <c r="B149" s="106"/>
      <c r="C149" s="106"/>
      <c r="D149" s="106"/>
      <c r="E149" s="106"/>
      <c r="O149" s="64"/>
      <c r="R149" s="67"/>
    </row>
    <row r="150" spans="1:18" ht="115.2" x14ac:dyDescent="0.3">
      <c r="A150" s="1" t="s">
        <v>0</v>
      </c>
      <c r="B150" s="1" t="s">
        <v>1</v>
      </c>
      <c r="C150" s="2" t="s">
        <v>2</v>
      </c>
      <c r="D150" s="2" t="s">
        <v>3</v>
      </c>
      <c r="E150" s="3" t="s">
        <v>4</v>
      </c>
      <c r="F150" s="1" t="s">
        <v>5</v>
      </c>
      <c r="G150" s="4" t="s">
        <v>6</v>
      </c>
      <c r="H150" s="5" t="s">
        <v>7</v>
      </c>
      <c r="I150" s="2" t="s">
        <v>8</v>
      </c>
      <c r="J150" s="6" t="s">
        <v>9</v>
      </c>
      <c r="K150" s="7" t="s">
        <v>10</v>
      </c>
      <c r="L150" s="8" t="s">
        <v>11</v>
      </c>
      <c r="M150" s="9" t="s">
        <v>12</v>
      </c>
      <c r="N150" s="1" t="s">
        <v>13</v>
      </c>
      <c r="O150" s="1" t="s">
        <v>14</v>
      </c>
      <c r="P150" s="10" t="s">
        <v>15</v>
      </c>
      <c r="Q150" s="10" t="s">
        <v>16</v>
      </c>
      <c r="R150" s="48"/>
    </row>
    <row r="151" spans="1:18" x14ac:dyDescent="0.3">
      <c r="A151" s="41" t="s">
        <v>167</v>
      </c>
      <c r="B151" s="41">
        <v>649.29999999999995</v>
      </c>
      <c r="C151" s="41">
        <v>60</v>
      </c>
      <c r="D151" s="41">
        <f>C151*B151</f>
        <v>38958</v>
      </c>
      <c r="E151" s="35" t="s">
        <v>70</v>
      </c>
      <c r="F151" s="41">
        <v>145</v>
      </c>
      <c r="G151" s="69">
        <v>2000</v>
      </c>
      <c r="H151" s="69">
        <f>G151*F151+D151</f>
        <v>328958</v>
      </c>
      <c r="I151" s="34">
        <v>5000</v>
      </c>
      <c r="J151" s="37">
        <f>(H151*0.1)-I151</f>
        <v>27895.800000000003</v>
      </c>
      <c r="K151" s="38">
        <f>H151*0.2</f>
        <v>65791.600000000006</v>
      </c>
      <c r="L151" s="39">
        <f t="shared" ref="L151:L181" si="39">(H151-I151-J151-K151)/36</f>
        <v>6396.405555555556</v>
      </c>
      <c r="M151" s="40">
        <f>(H151*0.08)/12</f>
        <v>2193.0533333333333</v>
      </c>
      <c r="N151" s="41">
        <v>350</v>
      </c>
      <c r="O151" s="41">
        <f t="shared" ref="O151:O181" si="40">(N151*365*0.45)*0.6</f>
        <v>34492.5</v>
      </c>
      <c r="P151" s="44">
        <f t="shared" ref="P151:P181" si="41">(O151/H151)*100</f>
        <v>10.485381112482445</v>
      </c>
      <c r="Q151" s="43">
        <f t="shared" ref="Q151:Q181" si="42">H151/O151</f>
        <v>9.5370877727042114</v>
      </c>
      <c r="R151" s="44"/>
    </row>
    <row r="152" spans="1:18" x14ac:dyDescent="0.3">
      <c r="A152" s="41" t="s">
        <v>168</v>
      </c>
      <c r="B152" s="41">
        <v>901.9</v>
      </c>
      <c r="C152" s="41">
        <v>60</v>
      </c>
      <c r="D152" s="41">
        <f t="shared" ref="D152:D181" si="43">C152*B152</f>
        <v>54114</v>
      </c>
      <c r="E152" s="35" t="s">
        <v>70</v>
      </c>
      <c r="F152" s="41">
        <v>145</v>
      </c>
      <c r="G152" s="69">
        <v>2000</v>
      </c>
      <c r="H152" s="69">
        <f t="shared" ref="H152:H181" si="44">G152*F152+D152</f>
        <v>344114</v>
      </c>
      <c r="I152" s="34">
        <v>5000</v>
      </c>
      <c r="J152" s="37">
        <f>(H152*0.1)-I152</f>
        <v>29411.4</v>
      </c>
      <c r="K152" s="38">
        <f>H152*0.2</f>
        <v>68822.8</v>
      </c>
      <c r="L152" s="39">
        <f t="shared" si="39"/>
        <v>6691.1055555555549</v>
      </c>
      <c r="M152" s="40">
        <f>(H152*0.08)/12</f>
        <v>2294.0933333333332</v>
      </c>
      <c r="N152" s="41">
        <v>350</v>
      </c>
      <c r="O152" s="41">
        <f t="shared" si="40"/>
        <v>34492.5</v>
      </c>
      <c r="P152" s="44">
        <f t="shared" si="41"/>
        <v>10.023567771145608</v>
      </c>
      <c r="Q152" s="43">
        <f t="shared" si="42"/>
        <v>9.9764876422410662</v>
      </c>
      <c r="R152" s="44"/>
    </row>
    <row r="153" spans="1:18" x14ac:dyDescent="0.3">
      <c r="A153" t="s">
        <v>169</v>
      </c>
      <c r="B153">
        <v>514.20000000000005</v>
      </c>
      <c r="C153">
        <v>60</v>
      </c>
      <c r="D153">
        <f t="shared" si="43"/>
        <v>30852.000000000004</v>
      </c>
      <c r="E153" s="68" t="s">
        <v>74</v>
      </c>
      <c r="F153">
        <v>115</v>
      </c>
      <c r="G153" s="70">
        <v>2000</v>
      </c>
      <c r="H153" s="59">
        <f t="shared" si="44"/>
        <v>260852</v>
      </c>
      <c r="I153" s="45">
        <v>5000</v>
      </c>
      <c r="J153" s="60">
        <f t="shared" ref="J153:J181" si="45">(H153*0.1)-I153</f>
        <v>21085.200000000001</v>
      </c>
      <c r="K153" s="61">
        <f>H153*0.2</f>
        <v>52170.400000000001</v>
      </c>
      <c r="L153" s="62">
        <f t="shared" si="39"/>
        <v>5072.1222222222223</v>
      </c>
      <c r="M153" s="63"/>
      <c r="N153">
        <v>250</v>
      </c>
      <c r="O153">
        <f t="shared" si="40"/>
        <v>24637.5</v>
      </c>
      <c r="P153" s="65">
        <f t="shared" si="41"/>
        <v>9.4450109640715798</v>
      </c>
      <c r="Q153" s="66">
        <f t="shared" si="42"/>
        <v>10.587600202942669</v>
      </c>
      <c r="R153" s="65"/>
    </row>
    <row r="154" spans="1:18" x14ac:dyDescent="0.3">
      <c r="A154" t="s">
        <v>170</v>
      </c>
      <c r="B154">
        <v>337.5</v>
      </c>
      <c r="C154">
        <v>60</v>
      </c>
      <c r="D154">
        <f t="shared" si="43"/>
        <v>20250</v>
      </c>
      <c r="E154" s="68" t="s">
        <v>86</v>
      </c>
      <c r="F154">
        <v>85</v>
      </c>
      <c r="G154" s="70">
        <v>2000</v>
      </c>
      <c r="H154" s="59">
        <f t="shared" si="44"/>
        <v>190250</v>
      </c>
      <c r="I154" s="45">
        <v>5000</v>
      </c>
      <c r="J154" s="60">
        <f t="shared" si="45"/>
        <v>14025</v>
      </c>
      <c r="K154" s="61">
        <f t="shared" ref="K154:K181" si="46">H154*0.2</f>
        <v>38050</v>
      </c>
      <c r="L154" s="62">
        <f t="shared" si="39"/>
        <v>3699.3055555555557</v>
      </c>
      <c r="M154" s="63"/>
      <c r="N154">
        <v>200</v>
      </c>
      <c r="O154">
        <f t="shared" si="40"/>
        <v>19710</v>
      </c>
      <c r="P154" s="65">
        <f t="shared" si="41"/>
        <v>10.36005256241787</v>
      </c>
      <c r="Q154" s="66">
        <f t="shared" si="42"/>
        <v>9.6524606798579402</v>
      </c>
      <c r="R154" s="65"/>
    </row>
    <row r="155" spans="1:18" x14ac:dyDescent="0.3">
      <c r="A155" t="s">
        <v>171</v>
      </c>
      <c r="B155">
        <v>396.9</v>
      </c>
      <c r="C155">
        <v>60</v>
      </c>
      <c r="D155">
        <f t="shared" si="43"/>
        <v>23814</v>
      </c>
      <c r="E155" s="68" t="s">
        <v>72</v>
      </c>
      <c r="F155">
        <v>85</v>
      </c>
      <c r="G155" s="70">
        <v>2000</v>
      </c>
      <c r="H155" s="59">
        <f t="shared" si="44"/>
        <v>193814</v>
      </c>
      <c r="I155" s="45">
        <v>5000</v>
      </c>
      <c r="J155" s="60">
        <f t="shared" si="45"/>
        <v>14381.400000000001</v>
      </c>
      <c r="K155" s="61">
        <f t="shared" si="46"/>
        <v>38762.800000000003</v>
      </c>
      <c r="L155" s="62">
        <f t="shared" si="39"/>
        <v>3768.6055555555554</v>
      </c>
      <c r="M155" s="63"/>
      <c r="N155">
        <v>200</v>
      </c>
      <c r="O155">
        <f t="shared" si="40"/>
        <v>19710</v>
      </c>
      <c r="P155" s="65">
        <f t="shared" si="41"/>
        <v>10.169543995789777</v>
      </c>
      <c r="Q155" s="66">
        <f t="shared" si="42"/>
        <v>9.8332825976661589</v>
      </c>
      <c r="R155" s="65"/>
    </row>
    <row r="156" spans="1:18" x14ac:dyDescent="0.3">
      <c r="A156" t="s">
        <v>172</v>
      </c>
      <c r="B156">
        <v>417.9</v>
      </c>
      <c r="C156">
        <v>60</v>
      </c>
      <c r="D156">
        <f t="shared" si="43"/>
        <v>25074</v>
      </c>
      <c r="E156" s="68" t="s">
        <v>72</v>
      </c>
      <c r="F156">
        <v>85</v>
      </c>
      <c r="G156" s="70">
        <v>2000</v>
      </c>
      <c r="H156" s="59">
        <f t="shared" si="44"/>
        <v>195074</v>
      </c>
      <c r="I156" s="45">
        <v>5000</v>
      </c>
      <c r="J156" s="60">
        <f t="shared" si="45"/>
        <v>14507.400000000001</v>
      </c>
      <c r="K156" s="61">
        <f t="shared" si="46"/>
        <v>39014.800000000003</v>
      </c>
      <c r="L156" s="62">
        <f t="shared" si="39"/>
        <v>3793.1055555555554</v>
      </c>
      <c r="M156" s="63"/>
      <c r="N156">
        <v>200</v>
      </c>
      <c r="O156">
        <f t="shared" si="40"/>
        <v>19710</v>
      </c>
      <c r="P156" s="65">
        <f t="shared" si="41"/>
        <v>10.103858023109179</v>
      </c>
      <c r="Q156" s="66">
        <f t="shared" si="42"/>
        <v>9.8972095383054288</v>
      </c>
      <c r="R156" s="65"/>
    </row>
    <row r="157" spans="1:18" x14ac:dyDescent="0.3">
      <c r="A157" t="s">
        <v>173</v>
      </c>
      <c r="B157">
        <v>412.8</v>
      </c>
      <c r="C157">
        <v>60</v>
      </c>
      <c r="D157">
        <f t="shared" si="43"/>
        <v>24768</v>
      </c>
      <c r="E157" s="68" t="s">
        <v>72</v>
      </c>
      <c r="F157">
        <v>85</v>
      </c>
      <c r="G157" s="70">
        <v>2000</v>
      </c>
      <c r="H157" s="59">
        <f t="shared" si="44"/>
        <v>194768</v>
      </c>
      <c r="I157" s="45">
        <v>5000</v>
      </c>
      <c r="J157" s="60">
        <f t="shared" si="45"/>
        <v>14476.8</v>
      </c>
      <c r="K157" s="61">
        <f t="shared" si="46"/>
        <v>38953.599999999999</v>
      </c>
      <c r="L157" s="62">
        <f t="shared" si="39"/>
        <v>3787.1555555555556</v>
      </c>
      <c r="M157" s="63"/>
      <c r="N157">
        <v>200</v>
      </c>
      <c r="O157">
        <f t="shared" si="40"/>
        <v>19710</v>
      </c>
      <c r="P157" s="65">
        <f t="shared" si="41"/>
        <v>10.119732194200278</v>
      </c>
      <c r="Q157" s="66">
        <f t="shared" si="42"/>
        <v>9.881684424150178</v>
      </c>
      <c r="R157" s="65"/>
    </row>
    <row r="158" spans="1:18" x14ac:dyDescent="0.3">
      <c r="A158" t="s">
        <v>174</v>
      </c>
      <c r="B158">
        <v>590.5</v>
      </c>
      <c r="C158">
        <v>60</v>
      </c>
      <c r="D158">
        <f t="shared" si="43"/>
        <v>35430</v>
      </c>
      <c r="E158" s="68" t="s">
        <v>74</v>
      </c>
      <c r="F158">
        <v>115</v>
      </c>
      <c r="G158" s="70">
        <v>2000</v>
      </c>
      <c r="H158" s="59">
        <f t="shared" si="44"/>
        <v>265430</v>
      </c>
      <c r="I158" s="45">
        <v>5000</v>
      </c>
      <c r="J158" s="60">
        <f t="shared" si="45"/>
        <v>21543</v>
      </c>
      <c r="K158" s="61">
        <f t="shared" si="46"/>
        <v>53086</v>
      </c>
      <c r="L158" s="62">
        <f t="shared" si="39"/>
        <v>5161.1388888888887</v>
      </c>
      <c r="M158" s="63"/>
      <c r="N158">
        <v>250</v>
      </c>
      <c r="O158">
        <f t="shared" si="40"/>
        <v>24637.5</v>
      </c>
      <c r="P158" s="65">
        <f t="shared" si="41"/>
        <v>9.2821082771352152</v>
      </c>
      <c r="Q158" s="66">
        <f t="shared" si="42"/>
        <v>10.773414510400812</v>
      </c>
      <c r="R158" s="65"/>
    </row>
    <row r="159" spans="1:18" x14ac:dyDescent="0.3">
      <c r="A159" t="s">
        <v>175</v>
      </c>
      <c r="B159">
        <v>558.5</v>
      </c>
      <c r="C159">
        <v>60</v>
      </c>
      <c r="D159">
        <f t="shared" si="43"/>
        <v>33510</v>
      </c>
      <c r="E159" s="68" t="s">
        <v>74</v>
      </c>
      <c r="F159">
        <v>115</v>
      </c>
      <c r="G159" s="70">
        <v>2000</v>
      </c>
      <c r="H159" s="59">
        <f t="shared" si="44"/>
        <v>263510</v>
      </c>
      <c r="I159" s="45">
        <v>5000</v>
      </c>
      <c r="J159" s="60">
        <f t="shared" si="45"/>
        <v>21351</v>
      </c>
      <c r="K159" s="61">
        <f t="shared" si="46"/>
        <v>52702</v>
      </c>
      <c r="L159" s="62">
        <f t="shared" si="39"/>
        <v>5123.8055555555557</v>
      </c>
      <c r="M159" s="63"/>
      <c r="N159">
        <v>250</v>
      </c>
      <c r="O159">
        <f t="shared" si="40"/>
        <v>24637.5</v>
      </c>
      <c r="P159" s="65">
        <f t="shared" si="41"/>
        <v>9.349740047816022</v>
      </c>
      <c r="Q159" s="66">
        <f t="shared" si="42"/>
        <v>10.695484525621511</v>
      </c>
      <c r="R159" s="65"/>
    </row>
    <row r="160" spans="1:18" x14ac:dyDescent="0.3">
      <c r="A160" t="s">
        <v>176</v>
      </c>
      <c r="B160">
        <v>408.2</v>
      </c>
      <c r="C160">
        <v>60</v>
      </c>
      <c r="D160">
        <f t="shared" si="43"/>
        <v>24492</v>
      </c>
      <c r="E160" s="68" t="s">
        <v>72</v>
      </c>
      <c r="F160">
        <v>85</v>
      </c>
      <c r="G160" s="70">
        <v>2000</v>
      </c>
      <c r="H160" s="59">
        <f t="shared" si="44"/>
        <v>194492</v>
      </c>
      <c r="I160" s="45">
        <v>5000</v>
      </c>
      <c r="J160" s="60">
        <f t="shared" si="45"/>
        <v>14449.2</v>
      </c>
      <c r="K160" s="61">
        <f t="shared" si="46"/>
        <v>38898.400000000001</v>
      </c>
      <c r="L160" s="62">
        <f t="shared" si="39"/>
        <v>3781.7888888888888</v>
      </c>
      <c r="M160" s="63"/>
      <c r="N160">
        <v>200</v>
      </c>
      <c r="O160">
        <f t="shared" si="40"/>
        <v>19710</v>
      </c>
      <c r="P160" s="65">
        <f t="shared" si="41"/>
        <v>10.134092918988955</v>
      </c>
      <c r="Q160" s="66">
        <f t="shared" si="42"/>
        <v>9.8676813800101471</v>
      </c>
      <c r="R160" s="65"/>
    </row>
    <row r="161" spans="1:18" x14ac:dyDescent="0.3">
      <c r="A161" t="s">
        <v>177</v>
      </c>
      <c r="B161">
        <v>399</v>
      </c>
      <c r="C161">
        <v>60</v>
      </c>
      <c r="D161">
        <f t="shared" si="43"/>
        <v>23940</v>
      </c>
      <c r="E161" s="68" t="s">
        <v>72</v>
      </c>
      <c r="F161">
        <v>85</v>
      </c>
      <c r="G161" s="70">
        <v>2000</v>
      </c>
      <c r="H161" s="59">
        <f t="shared" si="44"/>
        <v>193940</v>
      </c>
      <c r="I161" s="45">
        <v>5000</v>
      </c>
      <c r="J161" s="60">
        <f t="shared" si="45"/>
        <v>14394</v>
      </c>
      <c r="K161" s="61">
        <f t="shared" si="46"/>
        <v>38788</v>
      </c>
      <c r="L161" s="62">
        <f t="shared" si="39"/>
        <v>3771.0555555555557</v>
      </c>
      <c r="M161" s="63"/>
      <c r="N161">
        <v>200</v>
      </c>
      <c r="O161">
        <f t="shared" si="40"/>
        <v>19710</v>
      </c>
      <c r="P161" s="65">
        <f t="shared" si="41"/>
        <v>10.162936990821905</v>
      </c>
      <c r="Q161" s="66">
        <f t="shared" si="42"/>
        <v>9.8396752917300869</v>
      </c>
      <c r="R161" s="65"/>
    </row>
    <row r="162" spans="1:18" x14ac:dyDescent="0.3">
      <c r="A162" t="s">
        <v>178</v>
      </c>
      <c r="B162">
        <v>389.8</v>
      </c>
      <c r="C162">
        <v>60</v>
      </c>
      <c r="D162">
        <f t="shared" si="43"/>
        <v>23388</v>
      </c>
      <c r="E162" s="68" t="s">
        <v>72</v>
      </c>
      <c r="F162">
        <v>85</v>
      </c>
      <c r="G162" s="70">
        <v>2000</v>
      </c>
      <c r="H162" s="59">
        <f t="shared" si="44"/>
        <v>193388</v>
      </c>
      <c r="I162" s="45">
        <v>5000</v>
      </c>
      <c r="J162" s="60">
        <f t="shared" si="45"/>
        <v>14338.8</v>
      </c>
      <c r="K162" s="61">
        <f t="shared" si="46"/>
        <v>38677.599999999999</v>
      </c>
      <c r="L162" s="62">
        <f t="shared" si="39"/>
        <v>3760.3222222222225</v>
      </c>
      <c r="M162" s="63"/>
      <c r="N162">
        <v>200</v>
      </c>
      <c r="O162">
        <f t="shared" si="40"/>
        <v>19710</v>
      </c>
      <c r="P162" s="65">
        <f t="shared" si="41"/>
        <v>10.191945725691356</v>
      </c>
      <c r="Q162" s="66">
        <f t="shared" si="42"/>
        <v>9.811669203450025</v>
      </c>
      <c r="R162" s="65"/>
    </row>
    <row r="163" spans="1:18" x14ac:dyDescent="0.3">
      <c r="A163" t="s">
        <v>179</v>
      </c>
      <c r="B163">
        <v>380.5</v>
      </c>
      <c r="C163">
        <v>60</v>
      </c>
      <c r="D163">
        <f t="shared" si="43"/>
        <v>22830</v>
      </c>
      <c r="E163" s="68" t="s">
        <v>72</v>
      </c>
      <c r="F163">
        <v>85</v>
      </c>
      <c r="G163" s="70">
        <v>2000</v>
      </c>
      <c r="H163" s="59">
        <f t="shared" si="44"/>
        <v>192830</v>
      </c>
      <c r="I163" s="45">
        <v>5000</v>
      </c>
      <c r="J163" s="60">
        <f t="shared" si="45"/>
        <v>14283</v>
      </c>
      <c r="K163" s="61">
        <f t="shared" si="46"/>
        <v>38566</v>
      </c>
      <c r="L163" s="62">
        <f t="shared" si="39"/>
        <v>3749.4722222222222</v>
      </c>
      <c r="M163" s="63"/>
      <c r="N163">
        <v>200</v>
      </c>
      <c r="O163">
        <f t="shared" si="40"/>
        <v>19710</v>
      </c>
      <c r="P163" s="65">
        <f t="shared" si="41"/>
        <v>10.221438572836176</v>
      </c>
      <c r="Q163" s="66">
        <f t="shared" si="42"/>
        <v>9.7833587011669199</v>
      </c>
      <c r="R163" s="65"/>
    </row>
    <row r="164" spans="1:18" x14ac:dyDescent="0.3">
      <c r="A164" t="s">
        <v>180</v>
      </c>
      <c r="B164">
        <v>372.3</v>
      </c>
      <c r="C164">
        <v>60</v>
      </c>
      <c r="D164">
        <f t="shared" si="43"/>
        <v>22338</v>
      </c>
      <c r="E164" s="68" t="s">
        <v>72</v>
      </c>
      <c r="F164">
        <v>85</v>
      </c>
      <c r="G164" s="70">
        <v>2000</v>
      </c>
      <c r="H164" s="59">
        <f t="shared" si="44"/>
        <v>192338</v>
      </c>
      <c r="I164" s="45">
        <v>5000</v>
      </c>
      <c r="J164" s="60">
        <f t="shared" si="45"/>
        <v>14233.8</v>
      </c>
      <c r="K164" s="61">
        <f t="shared" si="46"/>
        <v>38467.599999999999</v>
      </c>
      <c r="L164" s="62">
        <f t="shared" si="39"/>
        <v>3739.9055555555556</v>
      </c>
      <c r="M164" s="63"/>
      <c r="N164">
        <v>200</v>
      </c>
      <c r="O164">
        <f t="shared" si="40"/>
        <v>19710</v>
      </c>
      <c r="P164" s="65">
        <f t="shared" si="41"/>
        <v>10.247584980607057</v>
      </c>
      <c r="Q164" s="66">
        <f t="shared" si="42"/>
        <v>9.7583967529173012</v>
      </c>
      <c r="R164" s="65"/>
    </row>
    <row r="165" spans="1:18" x14ac:dyDescent="0.3">
      <c r="A165" t="s">
        <v>181</v>
      </c>
      <c r="B165">
        <v>370.5</v>
      </c>
      <c r="C165">
        <v>60</v>
      </c>
      <c r="D165">
        <f t="shared" si="43"/>
        <v>22230</v>
      </c>
      <c r="E165" s="68" t="s">
        <v>72</v>
      </c>
      <c r="F165">
        <v>85</v>
      </c>
      <c r="G165" s="70">
        <v>2000</v>
      </c>
      <c r="H165" s="59">
        <f t="shared" si="44"/>
        <v>192230</v>
      </c>
      <c r="I165" s="45">
        <v>5000</v>
      </c>
      <c r="J165" s="60">
        <f t="shared" si="45"/>
        <v>14223</v>
      </c>
      <c r="K165" s="61">
        <f t="shared" si="46"/>
        <v>38446</v>
      </c>
      <c r="L165" s="62">
        <f t="shared" si="39"/>
        <v>3737.8055555555557</v>
      </c>
      <c r="M165" s="63"/>
      <c r="N165">
        <v>200</v>
      </c>
      <c r="O165">
        <f t="shared" si="40"/>
        <v>19710</v>
      </c>
      <c r="P165" s="65">
        <f t="shared" si="41"/>
        <v>10.253342350309524</v>
      </c>
      <c r="Q165" s="66">
        <f t="shared" si="42"/>
        <v>9.7529173008625065</v>
      </c>
      <c r="R165" s="65"/>
    </row>
    <row r="166" spans="1:18" x14ac:dyDescent="0.3">
      <c r="A166" t="s">
        <v>182</v>
      </c>
      <c r="B166">
        <v>369.8</v>
      </c>
      <c r="C166">
        <v>60</v>
      </c>
      <c r="D166">
        <f t="shared" si="43"/>
        <v>22188</v>
      </c>
      <c r="E166" s="68" t="s">
        <v>72</v>
      </c>
      <c r="F166">
        <v>85</v>
      </c>
      <c r="G166" s="70">
        <v>2000</v>
      </c>
      <c r="H166" s="59">
        <f t="shared" si="44"/>
        <v>192188</v>
      </c>
      <c r="I166" s="45">
        <v>5000</v>
      </c>
      <c r="J166" s="60">
        <f t="shared" si="45"/>
        <v>14218.8</v>
      </c>
      <c r="K166" s="61">
        <f t="shared" si="46"/>
        <v>38437.599999999999</v>
      </c>
      <c r="L166" s="62">
        <f t="shared" si="39"/>
        <v>3736.9888888888891</v>
      </c>
      <c r="M166" s="63"/>
      <c r="N166">
        <v>200</v>
      </c>
      <c r="O166">
        <f t="shared" si="40"/>
        <v>19710</v>
      </c>
      <c r="P166" s="65">
        <f t="shared" si="41"/>
        <v>10.255583074905822</v>
      </c>
      <c r="Q166" s="66">
        <f t="shared" si="42"/>
        <v>9.7507864028411966</v>
      </c>
      <c r="R166" s="65"/>
    </row>
    <row r="167" spans="1:18" x14ac:dyDescent="0.3">
      <c r="A167" t="s">
        <v>183</v>
      </c>
      <c r="B167">
        <v>369.1</v>
      </c>
      <c r="C167">
        <v>60</v>
      </c>
      <c r="D167">
        <f t="shared" si="43"/>
        <v>22146</v>
      </c>
      <c r="E167" s="68" t="s">
        <v>72</v>
      </c>
      <c r="F167">
        <v>85</v>
      </c>
      <c r="G167" s="70">
        <v>2000</v>
      </c>
      <c r="H167" s="59">
        <f t="shared" si="44"/>
        <v>192146</v>
      </c>
      <c r="I167" s="45">
        <v>5000</v>
      </c>
      <c r="J167" s="60">
        <f t="shared" si="45"/>
        <v>14214.600000000002</v>
      </c>
      <c r="K167" s="61">
        <f t="shared" si="46"/>
        <v>38429.200000000004</v>
      </c>
      <c r="L167" s="62">
        <f t="shared" si="39"/>
        <v>3736.1722222222215</v>
      </c>
      <c r="M167" s="63"/>
      <c r="N167">
        <v>200</v>
      </c>
      <c r="O167">
        <f t="shared" si="40"/>
        <v>19710</v>
      </c>
      <c r="P167" s="65">
        <f t="shared" si="41"/>
        <v>10.257824779074246</v>
      </c>
      <c r="Q167" s="66">
        <f t="shared" si="42"/>
        <v>9.7486555048198884</v>
      </c>
      <c r="R167" s="65"/>
    </row>
    <row r="168" spans="1:18" x14ac:dyDescent="0.3">
      <c r="A168" t="s">
        <v>184</v>
      </c>
      <c r="B168">
        <v>369.1</v>
      </c>
      <c r="C168">
        <v>60</v>
      </c>
      <c r="D168">
        <f t="shared" si="43"/>
        <v>22146</v>
      </c>
      <c r="E168" s="68" t="s">
        <v>72</v>
      </c>
      <c r="F168">
        <v>85</v>
      </c>
      <c r="G168" s="70">
        <v>2000</v>
      </c>
      <c r="H168" s="59">
        <f t="shared" si="44"/>
        <v>192146</v>
      </c>
      <c r="I168" s="45">
        <v>5000</v>
      </c>
      <c r="J168" s="60">
        <f t="shared" si="45"/>
        <v>14214.600000000002</v>
      </c>
      <c r="K168" s="61">
        <f t="shared" si="46"/>
        <v>38429.200000000004</v>
      </c>
      <c r="L168" s="62">
        <f t="shared" si="39"/>
        <v>3736.1722222222215</v>
      </c>
      <c r="M168" s="63"/>
      <c r="N168">
        <v>200</v>
      </c>
      <c r="O168">
        <f t="shared" si="40"/>
        <v>19710</v>
      </c>
      <c r="P168" s="65">
        <f t="shared" si="41"/>
        <v>10.257824779074246</v>
      </c>
      <c r="Q168" s="66">
        <f t="shared" si="42"/>
        <v>9.7486555048198884</v>
      </c>
      <c r="R168" s="65"/>
    </row>
    <row r="169" spans="1:18" x14ac:dyDescent="0.3">
      <c r="A169" t="s">
        <v>185</v>
      </c>
      <c r="B169">
        <v>379.4</v>
      </c>
      <c r="C169">
        <v>60</v>
      </c>
      <c r="D169">
        <f t="shared" si="43"/>
        <v>22764</v>
      </c>
      <c r="E169" s="68" t="s">
        <v>72</v>
      </c>
      <c r="F169">
        <v>85</v>
      </c>
      <c r="G169" s="70">
        <v>2000</v>
      </c>
      <c r="H169" s="59">
        <f t="shared" si="44"/>
        <v>192764</v>
      </c>
      <c r="I169" s="45">
        <v>5000</v>
      </c>
      <c r="J169" s="60">
        <f t="shared" si="45"/>
        <v>14276.400000000001</v>
      </c>
      <c r="K169" s="61">
        <f t="shared" si="46"/>
        <v>38552.800000000003</v>
      </c>
      <c r="L169" s="62">
        <f t="shared" si="39"/>
        <v>3748.1888888888884</v>
      </c>
      <c r="M169" s="63"/>
      <c r="N169">
        <v>200</v>
      </c>
      <c r="O169">
        <f t="shared" si="40"/>
        <v>19710</v>
      </c>
      <c r="P169" s="65">
        <f t="shared" si="41"/>
        <v>10.224938266481292</v>
      </c>
      <c r="Q169" s="66">
        <f t="shared" si="42"/>
        <v>9.7800101471334351</v>
      </c>
      <c r="R169" s="65"/>
    </row>
    <row r="170" spans="1:18" x14ac:dyDescent="0.3">
      <c r="A170" t="s">
        <v>186</v>
      </c>
      <c r="B170">
        <v>392.9</v>
      </c>
      <c r="C170">
        <v>60</v>
      </c>
      <c r="D170">
        <f t="shared" si="43"/>
        <v>23574</v>
      </c>
      <c r="E170" s="68" t="s">
        <v>72</v>
      </c>
      <c r="F170">
        <v>85</v>
      </c>
      <c r="G170" s="70">
        <v>2000</v>
      </c>
      <c r="H170" s="59">
        <f t="shared" si="44"/>
        <v>193574</v>
      </c>
      <c r="I170" s="45">
        <v>5000</v>
      </c>
      <c r="J170" s="60">
        <f t="shared" si="45"/>
        <v>14357.400000000001</v>
      </c>
      <c r="K170" s="61">
        <f t="shared" si="46"/>
        <v>38714.800000000003</v>
      </c>
      <c r="L170" s="62">
        <f t="shared" si="39"/>
        <v>3763.9388888888884</v>
      </c>
      <c r="M170" s="63"/>
      <c r="N170">
        <v>200</v>
      </c>
      <c r="O170">
        <f t="shared" si="40"/>
        <v>19710</v>
      </c>
      <c r="P170" s="65">
        <f t="shared" si="41"/>
        <v>10.182152561810987</v>
      </c>
      <c r="Q170" s="66">
        <f t="shared" si="42"/>
        <v>9.8211060375443946</v>
      </c>
      <c r="R170" s="65"/>
    </row>
    <row r="171" spans="1:18" x14ac:dyDescent="0.3">
      <c r="A171" t="s">
        <v>187</v>
      </c>
      <c r="B171">
        <v>398.4</v>
      </c>
      <c r="C171">
        <v>60</v>
      </c>
      <c r="D171">
        <f t="shared" si="43"/>
        <v>23904</v>
      </c>
      <c r="E171" s="68" t="s">
        <v>72</v>
      </c>
      <c r="F171">
        <v>85</v>
      </c>
      <c r="G171" s="70">
        <v>2000</v>
      </c>
      <c r="H171" s="59">
        <f t="shared" si="44"/>
        <v>193904</v>
      </c>
      <c r="I171" s="45">
        <v>5000</v>
      </c>
      <c r="J171" s="60">
        <f t="shared" si="45"/>
        <v>14390.400000000001</v>
      </c>
      <c r="K171" s="61">
        <f t="shared" si="46"/>
        <v>38780.800000000003</v>
      </c>
      <c r="L171" s="62">
        <f t="shared" si="39"/>
        <v>3770.3555555555554</v>
      </c>
      <c r="M171" s="63"/>
      <c r="N171">
        <v>200</v>
      </c>
      <c r="O171">
        <f t="shared" si="40"/>
        <v>19710</v>
      </c>
      <c r="P171" s="65">
        <f t="shared" si="41"/>
        <v>10.164823830349039</v>
      </c>
      <c r="Q171" s="66">
        <f t="shared" si="42"/>
        <v>9.837848807711822</v>
      </c>
      <c r="R171" s="65"/>
    </row>
    <row r="172" spans="1:18" x14ac:dyDescent="0.3">
      <c r="A172" t="s">
        <v>188</v>
      </c>
      <c r="B172">
        <v>377</v>
      </c>
      <c r="C172">
        <v>60</v>
      </c>
      <c r="D172">
        <f t="shared" si="43"/>
        <v>22620</v>
      </c>
      <c r="E172" s="68" t="s">
        <v>72</v>
      </c>
      <c r="F172">
        <v>85</v>
      </c>
      <c r="G172" s="70">
        <v>2000</v>
      </c>
      <c r="H172" s="59">
        <f t="shared" si="44"/>
        <v>192620</v>
      </c>
      <c r="I172" s="45">
        <v>5000</v>
      </c>
      <c r="J172" s="60">
        <f t="shared" si="45"/>
        <v>14262</v>
      </c>
      <c r="K172" s="61">
        <f t="shared" si="46"/>
        <v>38524</v>
      </c>
      <c r="L172" s="62">
        <f t="shared" si="39"/>
        <v>3745.3888888888887</v>
      </c>
      <c r="M172" s="63"/>
      <c r="N172">
        <v>200</v>
      </c>
      <c r="O172">
        <f t="shared" si="40"/>
        <v>19710</v>
      </c>
      <c r="P172" s="65">
        <f t="shared" si="41"/>
        <v>10.23258228636694</v>
      </c>
      <c r="Q172" s="66">
        <f t="shared" si="42"/>
        <v>9.7727042110603755</v>
      </c>
      <c r="R172" s="65"/>
    </row>
    <row r="173" spans="1:18" x14ac:dyDescent="0.3">
      <c r="A173" t="s">
        <v>189</v>
      </c>
      <c r="B173">
        <v>342.3</v>
      </c>
      <c r="C173">
        <v>60</v>
      </c>
      <c r="D173">
        <f t="shared" si="43"/>
        <v>20538</v>
      </c>
      <c r="E173" s="68" t="s">
        <v>86</v>
      </c>
      <c r="F173">
        <v>85</v>
      </c>
      <c r="G173" s="70">
        <v>2000</v>
      </c>
      <c r="H173" s="59">
        <f t="shared" si="44"/>
        <v>190538</v>
      </c>
      <c r="I173" s="45">
        <v>5000</v>
      </c>
      <c r="J173" s="60">
        <f t="shared" si="45"/>
        <v>14053.8</v>
      </c>
      <c r="K173" s="61">
        <f t="shared" si="46"/>
        <v>38107.599999999999</v>
      </c>
      <c r="L173" s="62">
        <f t="shared" si="39"/>
        <v>3704.9055555555556</v>
      </c>
      <c r="M173" s="63"/>
      <c r="N173">
        <v>200</v>
      </c>
      <c r="O173">
        <f t="shared" si="40"/>
        <v>19710</v>
      </c>
      <c r="P173" s="65">
        <f t="shared" si="41"/>
        <v>10.344393244392194</v>
      </c>
      <c r="Q173" s="66">
        <f t="shared" si="42"/>
        <v>9.6670725520040595</v>
      </c>
      <c r="R173" s="65"/>
    </row>
    <row r="174" spans="1:18" x14ac:dyDescent="0.3">
      <c r="A174" t="s">
        <v>190</v>
      </c>
      <c r="B174">
        <v>430.3</v>
      </c>
      <c r="C174">
        <v>60</v>
      </c>
      <c r="D174">
        <f t="shared" si="43"/>
        <v>25818</v>
      </c>
      <c r="E174" s="68" t="s">
        <v>72</v>
      </c>
      <c r="F174">
        <v>85</v>
      </c>
      <c r="G174" s="70">
        <v>2000</v>
      </c>
      <c r="H174" s="59">
        <f t="shared" si="44"/>
        <v>195818</v>
      </c>
      <c r="I174" s="45">
        <v>5000</v>
      </c>
      <c r="J174" s="60">
        <f t="shared" si="45"/>
        <v>14581.8</v>
      </c>
      <c r="K174" s="61">
        <f t="shared" si="46"/>
        <v>39163.599999999999</v>
      </c>
      <c r="L174" s="62">
        <f t="shared" si="39"/>
        <v>3807.5722222222225</v>
      </c>
      <c r="M174" s="63"/>
      <c r="N174">
        <v>200</v>
      </c>
      <c r="O174">
        <f t="shared" si="40"/>
        <v>19710</v>
      </c>
      <c r="P174" s="65">
        <f t="shared" si="41"/>
        <v>10.065468955867182</v>
      </c>
      <c r="Q174" s="66">
        <f t="shared" si="42"/>
        <v>9.9349568746829018</v>
      </c>
      <c r="R174" s="65"/>
    </row>
    <row r="175" spans="1:18" x14ac:dyDescent="0.3">
      <c r="A175" t="s">
        <v>191</v>
      </c>
      <c r="B175">
        <v>420</v>
      </c>
      <c r="C175">
        <v>80</v>
      </c>
      <c r="D175">
        <f t="shared" si="43"/>
        <v>33600</v>
      </c>
      <c r="E175" s="68" t="s">
        <v>72</v>
      </c>
      <c r="F175">
        <v>85</v>
      </c>
      <c r="G175" s="70">
        <v>2000</v>
      </c>
      <c r="H175" s="59">
        <f t="shared" si="44"/>
        <v>203600</v>
      </c>
      <c r="I175" s="45">
        <v>5000</v>
      </c>
      <c r="J175" s="60">
        <f t="shared" si="45"/>
        <v>15360</v>
      </c>
      <c r="K175" s="61">
        <f t="shared" si="46"/>
        <v>40720</v>
      </c>
      <c r="L175" s="62">
        <f t="shared" si="39"/>
        <v>3958.8888888888887</v>
      </c>
      <c r="M175" s="63"/>
      <c r="N175">
        <v>200</v>
      </c>
      <c r="O175">
        <f t="shared" si="40"/>
        <v>19710</v>
      </c>
      <c r="P175" s="65">
        <f t="shared" si="41"/>
        <v>9.6807465618860515</v>
      </c>
      <c r="Q175" s="66">
        <f t="shared" si="42"/>
        <v>10.329781836631152</v>
      </c>
      <c r="R175" s="65"/>
    </row>
    <row r="176" spans="1:18" x14ac:dyDescent="0.3">
      <c r="A176" t="s">
        <v>192</v>
      </c>
      <c r="B176">
        <v>420</v>
      </c>
      <c r="C176">
        <v>80</v>
      </c>
      <c r="D176">
        <f t="shared" si="43"/>
        <v>33600</v>
      </c>
      <c r="E176" s="68" t="s">
        <v>72</v>
      </c>
      <c r="F176">
        <v>85</v>
      </c>
      <c r="G176" s="70">
        <v>2000</v>
      </c>
      <c r="H176" s="59">
        <f t="shared" si="44"/>
        <v>203600</v>
      </c>
      <c r="I176" s="45">
        <v>5000</v>
      </c>
      <c r="J176" s="60">
        <f t="shared" si="45"/>
        <v>15360</v>
      </c>
      <c r="K176" s="61">
        <f t="shared" si="46"/>
        <v>40720</v>
      </c>
      <c r="L176" s="62">
        <f t="shared" si="39"/>
        <v>3958.8888888888887</v>
      </c>
      <c r="M176" s="63"/>
      <c r="N176">
        <v>200</v>
      </c>
      <c r="O176">
        <f t="shared" si="40"/>
        <v>19710</v>
      </c>
      <c r="P176" s="65">
        <f t="shared" si="41"/>
        <v>9.6807465618860515</v>
      </c>
      <c r="Q176" s="66">
        <f t="shared" si="42"/>
        <v>10.329781836631152</v>
      </c>
      <c r="R176" s="65"/>
    </row>
    <row r="177" spans="1:18" x14ac:dyDescent="0.3">
      <c r="A177" t="s">
        <v>193</v>
      </c>
      <c r="B177">
        <v>420</v>
      </c>
      <c r="C177">
        <v>80</v>
      </c>
      <c r="D177">
        <f t="shared" si="43"/>
        <v>33600</v>
      </c>
      <c r="E177" s="68" t="s">
        <v>72</v>
      </c>
      <c r="F177">
        <v>85</v>
      </c>
      <c r="G177" s="70">
        <v>2000</v>
      </c>
      <c r="H177" s="59">
        <f t="shared" si="44"/>
        <v>203600</v>
      </c>
      <c r="I177" s="45">
        <v>5000</v>
      </c>
      <c r="J177" s="60">
        <f t="shared" si="45"/>
        <v>15360</v>
      </c>
      <c r="K177" s="61">
        <f t="shared" si="46"/>
        <v>40720</v>
      </c>
      <c r="L177" s="62">
        <f t="shared" si="39"/>
        <v>3958.8888888888887</v>
      </c>
      <c r="M177" s="63"/>
      <c r="N177">
        <v>200</v>
      </c>
      <c r="O177">
        <f t="shared" si="40"/>
        <v>19710</v>
      </c>
      <c r="P177" s="65">
        <f t="shared" si="41"/>
        <v>9.6807465618860515</v>
      </c>
      <c r="Q177" s="66">
        <f t="shared" si="42"/>
        <v>10.329781836631152</v>
      </c>
      <c r="R177" s="65"/>
    </row>
    <row r="178" spans="1:18" x14ac:dyDescent="0.3">
      <c r="A178" t="s">
        <v>194</v>
      </c>
      <c r="B178">
        <v>420.1</v>
      </c>
      <c r="C178">
        <v>80</v>
      </c>
      <c r="D178">
        <f t="shared" si="43"/>
        <v>33608</v>
      </c>
      <c r="E178" s="68" t="s">
        <v>72</v>
      </c>
      <c r="F178">
        <v>85</v>
      </c>
      <c r="G178" s="70">
        <v>2000</v>
      </c>
      <c r="H178" s="59">
        <f t="shared" si="44"/>
        <v>203608</v>
      </c>
      <c r="I178" s="45">
        <v>5000</v>
      </c>
      <c r="J178" s="60">
        <f t="shared" si="45"/>
        <v>15360.800000000003</v>
      </c>
      <c r="K178" s="61">
        <f t="shared" si="46"/>
        <v>40721.600000000006</v>
      </c>
      <c r="L178" s="62">
        <f t="shared" si="39"/>
        <v>3959.0444444444447</v>
      </c>
      <c r="M178" s="63"/>
      <c r="N178">
        <v>200</v>
      </c>
      <c r="O178">
        <f t="shared" si="40"/>
        <v>19710</v>
      </c>
      <c r="P178" s="65">
        <f t="shared" si="41"/>
        <v>9.6803661938627155</v>
      </c>
      <c r="Q178" s="66">
        <f t="shared" si="42"/>
        <v>10.330187721968544</v>
      </c>
      <c r="R178" s="65"/>
    </row>
    <row r="179" spans="1:18" x14ac:dyDescent="0.3">
      <c r="A179" t="s">
        <v>195</v>
      </c>
      <c r="B179">
        <v>436</v>
      </c>
      <c r="C179">
        <v>80</v>
      </c>
      <c r="D179">
        <f t="shared" si="43"/>
        <v>34880</v>
      </c>
      <c r="E179" s="68" t="s">
        <v>72</v>
      </c>
      <c r="F179">
        <v>85</v>
      </c>
      <c r="G179" s="70">
        <v>2000</v>
      </c>
      <c r="H179" s="59">
        <f t="shared" si="44"/>
        <v>204880</v>
      </c>
      <c r="I179" s="45">
        <v>5000</v>
      </c>
      <c r="J179" s="60">
        <f t="shared" si="45"/>
        <v>15488</v>
      </c>
      <c r="K179" s="61">
        <f t="shared" si="46"/>
        <v>40976</v>
      </c>
      <c r="L179" s="62">
        <f t="shared" si="39"/>
        <v>3983.7777777777778</v>
      </c>
      <c r="M179" s="63"/>
      <c r="N179">
        <v>200</v>
      </c>
      <c r="O179">
        <f t="shared" si="40"/>
        <v>19710</v>
      </c>
      <c r="P179" s="65">
        <f t="shared" si="41"/>
        <v>9.62026552128075</v>
      </c>
      <c r="Q179" s="66">
        <f t="shared" si="42"/>
        <v>10.394723490613902</v>
      </c>
      <c r="R179" s="65"/>
    </row>
    <row r="180" spans="1:18" x14ac:dyDescent="0.3">
      <c r="A180" t="s">
        <v>196</v>
      </c>
      <c r="B180">
        <v>395.1</v>
      </c>
      <c r="C180">
        <v>80</v>
      </c>
      <c r="D180">
        <f t="shared" si="43"/>
        <v>31608</v>
      </c>
      <c r="E180" s="68" t="s">
        <v>72</v>
      </c>
      <c r="F180">
        <v>85</v>
      </c>
      <c r="G180" s="70">
        <v>2000</v>
      </c>
      <c r="H180" s="59">
        <f t="shared" si="44"/>
        <v>201608</v>
      </c>
      <c r="I180" s="45">
        <v>5000</v>
      </c>
      <c r="J180" s="60">
        <f t="shared" si="45"/>
        <v>15160.800000000003</v>
      </c>
      <c r="K180" s="61">
        <f t="shared" si="46"/>
        <v>40321.600000000006</v>
      </c>
      <c r="L180" s="62">
        <f t="shared" si="39"/>
        <v>3920.1555555555556</v>
      </c>
      <c r="M180" s="63"/>
      <c r="N180">
        <v>200</v>
      </c>
      <c r="O180">
        <f t="shared" si="40"/>
        <v>19710</v>
      </c>
      <c r="P180" s="65">
        <f t="shared" si="41"/>
        <v>9.7763977619935716</v>
      </c>
      <c r="Q180" s="66">
        <f t="shared" si="42"/>
        <v>10.228716387620498</v>
      </c>
      <c r="R180" s="65"/>
    </row>
    <row r="181" spans="1:18" x14ac:dyDescent="0.3">
      <c r="A181" t="s">
        <v>197</v>
      </c>
      <c r="B181">
        <v>522</v>
      </c>
      <c r="C181">
        <v>80</v>
      </c>
      <c r="D181">
        <f t="shared" si="43"/>
        <v>41760</v>
      </c>
      <c r="E181" s="68" t="s">
        <v>74</v>
      </c>
      <c r="F181">
        <v>115</v>
      </c>
      <c r="G181" s="70">
        <v>2000</v>
      </c>
      <c r="H181" s="59">
        <f t="shared" si="44"/>
        <v>271760</v>
      </c>
      <c r="I181" s="45">
        <v>5000</v>
      </c>
      <c r="J181" s="60">
        <f t="shared" si="45"/>
        <v>22176</v>
      </c>
      <c r="K181" s="61">
        <f t="shared" si="46"/>
        <v>54352</v>
      </c>
      <c r="L181" s="62">
        <f t="shared" si="39"/>
        <v>5284.2222222222226</v>
      </c>
      <c r="M181" s="63"/>
      <c r="N181">
        <v>250</v>
      </c>
      <c r="O181">
        <f t="shared" si="40"/>
        <v>24637.5</v>
      </c>
      <c r="P181" s="65">
        <f t="shared" si="41"/>
        <v>9.0659037385928762</v>
      </c>
      <c r="Q181" s="66">
        <f t="shared" si="42"/>
        <v>11.030339928970067</v>
      </c>
      <c r="R181" s="65"/>
    </row>
    <row r="182" spans="1:18" x14ac:dyDescent="0.3">
      <c r="E182" s="68"/>
      <c r="M182" s="71"/>
      <c r="O182" s="64"/>
      <c r="R182" s="67"/>
    </row>
    <row r="183" spans="1:18" x14ac:dyDescent="0.3">
      <c r="E183" s="68"/>
      <c r="M183" s="71"/>
      <c r="O183" s="64"/>
      <c r="R183" s="67"/>
    </row>
    <row r="184" spans="1:18" x14ac:dyDescent="0.3">
      <c r="E184" s="68"/>
      <c r="M184" s="71"/>
      <c r="O184" s="64"/>
      <c r="R184" s="67"/>
    </row>
    <row r="185" spans="1:18" x14ac:dyDescent="0.3">
      <c r="E185" s="68"/>
      <c r="M185" s="71"/>
      <c r="O185" s="64"/>
      <c r="R185" s="67"/>
    </row>
    <row r="186" spans="1:18" x14ac:dyDescent="0.3">
      <c r="E186" s="68"/>
      <c r="M186" s="71"/>
      <c r="O186" s="64"/>
      <c r="R186" s="67"/>
    </row>
    <row r="187" spans="1:18" x14ac:dyDescent="0.3">
      <c r="E187" s="68"/>
      <c r="M187" s="71"/>
      <c r="O187" s="64"/>
      <c r="R187" s="67"/>
    </row>
    <row r="188" spans="1:18" x14ac:dyDescent="0.3">
      <c r="E188" s="68"/>
      <c r="M188" s="71"/>
      <c r="O188" s="64"/>
      <c r="R188" s="67"/>
    </row>
    <row r="189" spans="1:18" ht="115.8" thickBot="1" x14ac:dyDescent="0.35">
      <c r="A189" s="68" t="s">
        <v>198</v>
      </c>
      <c r="E189" s="68"/>
      <c r="F189" s="72" t="s">
        <v>5</v>
      </c>
      <c r="G189" s="4" t="s">
        <v>6</v>
      </c>
      <c r="H189" s="73" t="s">
        <v>7</v>
      </c>
      <c r="I189" s="74" t="s">
        <v>8</v>
      </c>
      <c r="J189" s="75" t="s">
        <v>9</v>
      </c>
      <c r="K189" s="76" t="s">
        <v>10</v>
      </c>
      <c r="L189" s="77" t="s">
        <v>11</v>
      </c>
      <c r="M189" s="9" t="s">
        <v>12</v>
      </c>
      <c r="N189" s="72" t="s">
        <v>199</v>
      </c>
      <c r="O189" s="1" t="s">
        <v>14</v>
      </c>
      <c r="P189" s="10" t="s">
        <v>15</v>
      </c>
      <c r="Q189" s="10" t="s">
        <v>16</v>
      </c>
      <c r="R189" s="78"/>
    </row>
    <row r="190" spans="1:18" ht="41.4" customHeight="1" thickBot="1" x14ac:dyDescent="0.35">
      <c r="A190" s="80" t="s">
        <v>203</v>
      </c>
      <c r="B190" s="80"/>
      <c r="C190" s="41"/>
      <c r="D190" s="41"/>
      <c r="E190" s="35"/>
      <c r="F190" s="81">
        <v>35</v>
      </c>
      <c r="G190" s="82">
        <v>2000</v>
      </c>
      <c r="H190" s="83">
        <f>G190*F190</f>
        <v>70000</v>
      </c>
      <c r="I190" s="34">
        <v>5000</v>
      </c>
      <c r="J190" s="37">
        <f>(H190*0.1)-I190</f>
        <v>2000</v>
      </c>
      <c r="K190" s="38">
        <f>H190*0.2</f>
        <v>14000</v>
      </c>
      <c r="L190" s="39">
        <f t="shared" ref="L190:L253" si="47">(H190-I190-J190-K190)/36</f>
        <v>1361.1111111111111</v>
      </c>
      <c r="M190" s="40">
        <f>(H190*0.08)/12</f>
        <v>466.66666666666669</v>
      </c>
      <c r="N190" s="84">
        <v>80</v>
      </c>
      <c r="O190" s="41">
        <f t="shared" ref="O190:O253" si="48">(N190*365*0.45)*0.6</f>
        <v>7884</v>
      </c>
      <c r="P190" s="85">
        <f t="shared" ref="P190:P253" si="49">(O190/H191)*100</f>
        <v>11.262857142857143</v>
      </c>
      <c r="Q190" s="85">
        <f t="shared" ref="Q190:Q253" si="50">H191/O190</f>
        <v>8.8787417554540848</v>
      </c>
      <c r="R190" s="86"/>
    </row>
    <row r="191" spans="1:18" ht="44.4" customHeight="1" thickBot="1" x14ac:dyDescent="0.35">
      <c r="A191" s="80" t="s">
        <v>205</v>
      </c>
      <c r="B191" s="80"/>
      <c r="C191" s="41"/>
      <c r="D191" s="41"/>
      <c r="E191" s="35"/>
      <c r="F191" s="81">
        <v>35</v>
      </c>
      <c r="G191" s="82">
        <v>2000</v>
      </c>
      <c r="H191" s="83">
        <f t="shared" ref="H191:H254" si="51">G191*F191</f>
        <v>70000</v>
      </c>
      <c r="I191" s="34">
        <v>5000</v>
      </c>
      <c r="J191" s="37">
        <f t="shared" ref="J191:J254" si="52">(H191*0.1)-I191</f>
        <v>2000</v>
      </c>
      <c r="K191" s="38">
        <f t="shared" ref="K191:K196" si="53">H191*0.2</f>
        <v>14000</v>
      </c>
      <c r="L191" s="39">
        <f t="shared" si="47"/>
        <v>1361.1111111111111</v>
      </c>
      <c r="M191" s="40">
        <f t="shared" ref="M191:M196" si="54">(H191*0.08)/12</f>
        <v>466.66666666666669</v>
      </c>
      <c r="N191" s="84">
        <v>80</v>
      </c>
      <c r="O191" s="41">
        <f t="shared" si="48"/>
        <v>7884</v>
      </c>
      <c r="P191" s="85">
        <f t="shared" si="49"/>
        <v>11.262857142857143</v>
      </c>
      <c r="Q191" s="85">
        <f t="shared" si="50"/>
        <v>8.8787417554540848</v>
      </c>
      <c r="R191" s="86"/>
    </row>
    <row r="192" spans="1:18" ht="39.6" customHeight="1" thickBot="1" x14ac:dyDescent="0.35">
      <c r="A192" s="80" t="s">
        <v>206</v>
      </c>
      <c r="B192" s="41"/>
      <c r="C192" s="41"/>
      <c r="D192" s="41"/>
      <c r="E192" s="35"/>
      <c r="F192" s="81">
        <v>35</v>
      </c>
      <c r="G192" s="82">
        <v>2000</v>
      </c>
      <c r="H192" s="83">
        <f t="shared" si="51"/>
        <v>70000</v>
      </c>
      <c r="I192" s="34">
        <v>5000</v>
      </c>
      <c r="J192" s="37">
        <f t="shared" si="52"/>
        <v>2000</v>
      </c>
      <c r="K192" s="38">
        <f t="shared" si="53"/>
        <v>14000</v>
      </c>
      <c r="L192" s="39">
        <f t="shared" si="47"/>
        <v>1361.1111111111111</v>
      </c>
      <c r="M192" s="40">
        <f t="shared" si="54"/>
        <v>466.66666666666669</v>
      </c>
      <c r="N192" s="84">
        <v>80</v>
      </c>
      <c r="O192" s="41">
        <f t="shared" si="48"/>
        <v>7884</v>
      </c>
      <c r="P192" s="85">
        <f t="shared" si="49"/>
        <v>11.262857142857143</v>
      </c>
      <c r="Q192" s="85">
        <f t="shared" si="50"/>
        <v>8.8787417554540848</v>
      </c>
      <c r="R192" s="86"/>
    </row>
    <row r="193" spans="1:18" ht="45" customHeight="1" thickBot="1" x14ac:dyDescent="0.35">
      <c r="A193" s="80" t="s">
        <v>207</v>
      </c>
      <c r="B193" s="41"/>
      <c r="C193" s="41"/>
      <c r="D193" s="41"/>
      <c r="E193" s="35"/>
      <c r="F193" s="81">
        <v>35</v>
      </c>
      <c r="G193" s="82">
        <v>2000</v>
      </c>
      <c r="H193" s="83">
        <f t="shared" si="51"/>
        <v>70000</v>
      </c>
      <c r="I193" s="34">
        <v>5000</v>
      </c>
      <c r="J193" s="37">
        <f t="shared" si="52"/>
        <v>2000</v>
      </c>
      <c r="K193" s="38">
        <f t="shared" si="53"/>
        <v>14000</v>
      </c>
      <c r="L193" s="39">
        <f t="shared" si="47"/>
        <v>1361.1111111111111</v>
      </c>
      <c r="M193" s="40">
        <f t="shared" si="54"/>
        <v>466.66666666666669</v>
      </c>
      <c r="N193" s="84">
        <v>80</v>
      </c>
      <c r="O193" s="41">
        <f t="shared" si="48"/>
        <v>7884</v>
      </c>
      <c r="P193" s="85">
        <f t="shared" si="49"/>
        <v>11.262857142857143</v>
      </c>
      <c r="Q193" s="85">
        <f t="shared" si="50"/>
        <v>8.8787417554540848</v>
      </c>
      <c r="R193" s="86"/>
    </row>
    <row r="194" spans="1:18" ht="39.6" customHeight="1" thickBot="1" x14ac:dyDescent="0.35">
      <c r="A194" s="80" t="s">
        <v>209</v>
      </c>
      <c r="B194" s="41"/>
      <c r="C194" s="41"/>
      <c r="D194" s="41"/>
      <c r="E194" s="35"/>
      <c r="F194" s="81">
        <v>35</v>
      </c>
      <c r="G194" s="82">
        <v>2000</v>
      </c>
      <c r="H194" s="83">
        <f t="shared" si="51"/>
        <v>70000</v>
      </c>
      <c r="I194" s="34">
        <v>5000</v>
      </c>
      <c r="J194" s="37">
        <f t="shared" si="52"/>
        <v>2000</v>
      </c>
      <c r="K194" s="38">
        <f t="shared" si="53"/>
        <v>14000</v>
      </c>
      <c r="L194" s="39">
        <f t="shared" si="47"/>
        <v>1361.1111111111111</v>
      </c>
      <c r="M194" s="40">
        <f t="shared" si="54"/>
        <v>466.66666666666669</v>
      </c>
      <c r="N194" s="84">
        <v>80</v>
      </c>
      <c r="O194" s="41">
        <f t="shared" si="48"/>
        <v>7884</v>
      </c>
      <c r="P194" s="85">
        <f t="shared" si="49"/>
        <v>11.262857142857143</v>
      </c>
      <c r="Q194" s="85">
        <f t="shared" si="50"/>
        <v>8.8787417554540848</v>
      </c>
      <c r="R194" s="86"/>
    </row>
    <row r="195" spans="1:18" ht="39" customHeight="1" thickBot="1" x14ac:dyDescent="0.35">
      <c r="A195" s="80" t="s">
        <v>210</v>
      </c>
      <c r="B195" s="41"/>
      <c r="C195" s="41"/>
      <c r="D195" s="41"/>
      <c r="E195" s="35"/>
      <c r="F195" s="81">
        <v>35</v>
      </c>
      <c r="G195" s="82">
        <v>2000</v>
      </c>
      <c r="H195" s="83">
        <f t="shared" si="51"/>
        <v>70000</v>
      </c>
      <c r="I195" s="34">
        <v>5000</v>
      </c>
      <c r="J195" s="37">
        <f t="shared" si="52"/>
        <v>2000</v>
      </c>
      <c r="K195" s="38">
        <f t="shared" si="53"/>
        <v>14000</v>
      </c>
      <c r="L195" s="39">
        <f t="shared" si="47"/>
        <v>1361.1111111111111</v>
      </c>
      <c r="M195" s="40">
        <f t="shared" si="54"/>
        <v>466.66666666666669</v>
      </c>
      <c r="N195" s="84">
        <v>80</v>
      </c>
      <c r="O195" s="41">
        <f t="shared" si="48"/>
        <v>7884</v>
      </c>
      <c r="P195" s="85">
        <f t="shared" si="49"/>
        <v>11.262857142857143</v>
      </c>
      <c r="Q195" s="85">
        <f t="shared" si="50"/>
        <v>8.8787417554540848</v>
      </c>
      <c r="R195" s="86"/>
    </row>
    <row r="196" spans="1:18" ht="45.6" customHeight="1" thickBot="1" x14ac:dyDescent="0.35">
      <c r="A196" s="80" t="s">
        <v>211</v>
      </c>
      <c r="B196" s="41"/>
      <c r="C196" s="41"/>
      <c r="D196" s="41"/>
      <c r="E196" s="35"/>
      <c r="F196" s="81">
        <v>35</v>
      </c>
      <c r="G196" s="82">
        <v>2000</v>
      </c>
      <c r="H196" s="83">
        <f t="shared" si="51"/>
        <v>70000</v>
      </c>
      <c r="I196" s="34">
        <v>5000</v>
      </c>
      <c r="J196" s="37">
        <f t="shared" si="52"/>
        <v>2000</v>
      </c>
      <c r="K196" s="38">
        <f t="shared" si="53"/>
        <v>14000</v>
      </c>
      <c r="L196" s="39">
        <f t="shared" si="47"/>
        <v>1361.1111111111111</v>
      </c>
      <c r="M196" s="40">
        <f t="shared" si="54"/>
        <v>466.66666666666669</v>
      </c>
      <c r="N196" s="84">
        <v>80</v>
      </c>
      <c r="O196" s="41">
        <f t="shared" si="48"/>
        <v>7884</v>
      </c>
      <c r="P196" s="85">
        <f t="shared" si="49"/>
        <v>11.262857142857143</v>
      </c>
      <c r="Q196" s="85">
        <f t="shared" si="50"/>
        <v>8.8787417554540848</v>
      </c>
      <c r="R196" s="86"/>
    </row>
    <row r="197" spans="1:18" ht="43.2" customHeight="1" thickBot="1" x14ac:dyDescent="0.35">
      <c r="A197" s="90" t="s">
        <v>212</v>
      </c>
      <c r="E197" s="68"/>
      <c r="F197" s="91">
        <v>35</v>
      </c>
      <c r="G197" s="92">
        <v>2000</v>
      </c>
      <c r="H197" s="93">
        <f t="shared" si="51"/>
        <v>70000</v>
      </c>
      <c r="I197" s="45">
        <v>5000</v>
      </c>
      <c r="J197" s="60">
        <f t="shared" si="52"/>
        <v>2000</v>
      </c>
      <c r="K197" s="61">
        <f>H197*0.2</f>
        <v>14000</v>
      </c>
      <c r="L197" s="62">
        <f t="shared" si="47"/>
        <v>1361.1111111111111</v>
      </c>
      <c r="M197" s="63"/>
      <c r="N197" s="84">
        <v>80</v>
      </c>
      <c r="O197">
        <f t="shared" si="48"/>
        <v>7884</v>
      </c>
      <c r="P197" s="94">
        <f t="shared" si="49"/>
        <v>11.262857142857143</v>
      </c>
      <c r="Q197" s="94">
        <f t="shared" si="50"/>
        <v>8.8787417554540848</v>
      </c>
      <c r="R197" s="95"/>
    </row>
    <row r="198" spans="1:18" ht="51" customHeight="1" thickBot="1" x14ac:dyDescent="0.35">
      <c r="A198" s="90" t="s">
        <v>213</v>
      </c>
      <c r="E198" s="68"/>
      <c r="F198" s="91">
        <v>35</v>
      </c>
      <c r="G198" s="92">
        <v>2000</v>
      </c>
      <c r="H198" s="93">
        <f t="shared" si="51"/>
        <v>70000</v>
      </c>
      <c r="I198" s="45">
        <v>5000</v>
      </c>
      <c r="J198" s="60">
        <f t="shared" si="52"/>
        <v>2000</v>
      </c>
      <c r="K198" s="61">
        <f t="shared" ref="K198:K261" si="55">H198*0.2</f>
        <v>14000</v>
      </c>
      <c r="L198" s="62">
        <f t="shared" si="47"/>
        <v>1361.1111111111111</v>
      </c>
      <c r="M198" s="63"/>
      <c r="N198" s="84">
        <v>80</v>
      </c>
      <c r="O198">
        <f t="shared" si="48"/>
        <v>7884</v>
      </c>
      <c r="P198" s="94">
        <f t="shared" si="49"/>
        <v>11.262857142857143</v>
      </c>
      <c r="Q198" s="94">
        <f t="shared" si="50"/>
        <v>8.8787417554540848</v>
      </c>
      <c r="R198" s="95"/>
    </row>
    <row r="199" spans="1:18" ht="39" customHeight="1" thickBot="1" x14ac:dyDescent="0.35">
      <c r="A199" s="90" t="s">
        <v>214</v>
      </c>
      <c r="E199" s="68"/>
      <c r="F199" s="91">
        <v>35</v>
      </c>
      <c r="G199" s="92">
        <v>2000</v>
      </c>
      <c r="H199" s="93">
        <f t="shared" si="51"/>
        <v>70000</v>
      </c>
      <c r="I199" s="45">
        <v>5000</v>
      </c>
      <c r="J199" s="60">
        <f t="shared" si="52"/>
        <v>2000</v>
      </c>
      <c r="K199" s="61">
        <f t="shared" si="55"/>
        <v>14000</v>
      </c>
      <c r="L199" s="62">
        <f t="shared" si="47"/>
        <v>1361.1111111111111</v>
      </c>
      <c r="M199" s="63"/>
      <c r="N199" s="84">
        <v>80</v>
      </c>
      <c r="O199">
        <f t="shared" si="48"/>
        <v>7884</v>
      </c>
      <c r="P199" s="94">
        <f t="shared" si="49"/>
        <v>11.262857142857143</v>
      </c>
      <c r="Q199" s="94">
        <f t="shared" si="50"/>
        <v>8.8787417554540848</v>
      </c>
      <c r="R199" s="95"/>
    </row>
    <row r="200" spans="1:18" ht="34.799999999999997" customHeight="1" thickBot="1" x14ac:dyDescent="0.35">
      <c r="A200" s="90" t="s">
        <v>216</v>
      </c>
      <c r="E200" s="68"/>
      <c r="F200" s="91">
        <v>35</v>
      </c>
      <c r="G200" s="92">
        <v>2000</v>
      </c>
      <c r="H200" s="93">
        <f t="shared" si="51"/>
        <v>70000</v>
      </c>
      <c r="I200" s="45">
        <v>5000</v>
      </c>
      <c r="J200" s="60">
        <f t="shared" si="52"/>
        <v>2000</v>
      </c>
      <c r="K200" s="61">
        <f t="shared" si="55"/>
        <v>14000</v>
      </c>
      <c r="L200" s="62">
        <f t="shared" si="47"/>
        <v>1361.1111111111111</v>
      </c>
      <c r="M200" s="63"/>
      <c r="N200" s="84">
        <v>80</v>
      </c>
      <c r="O200">
        <f t="shared" si="48"/>
        <v>7884</v>
      </c>
      <c r="P200" s="94">
        <f t="shared" si="49"/>
        <v>11.262857142857143</v>
      </c>
      <c r="Q200" s="94">
        <f t="shared" si="50"/>
        <v>8.8787417554540848</v>
      </c>
      <c r="R200" s="95"/>
    </row>
    <row r="201" spans="1:18" ht="35.4" customHeight="1" thickBot="1" x14ac:dyDescent="0.35">
      <c r="A201" s="90" t="s">
        <v>217</v>
      </c>
      <c r="E201" s="68"/>
      <c r="F201" s="91">
        <v>35</v>
      </c>
      <c r="G201" s="92">
        <v>2000</v>
      </c>
      <c r="H201" s="93">
        <f t="shared" si="51"/>
        <v>70000</v>
      </c>
      <c r="I201" s="45">
        <v>5000</v>
      </c>
      <c r="J201" s="60">
        <f t="shared" si="52"/>
        <v>2000</v>
      </c>
      <c r="K201" s="61">
        <f t="shared" si="55"/>
        <v>14000</v>
      </c>
      <c r="L201" s="62">
        <f t="shared" si="47"/>
        <v>1361.1111111111111</v>
      </c>
      <c r="M201" s="63"/>
      <c r="N201" s="84">
        <v>80</v>
      </c>
      <c r="O201">
        <f t="shared" si="48"/>
        <v>7884</v>
      </c>
      <c r="P201" s="94">
        <f t="shared" si="49"/>
        <v>11.262857142857143</v>
      </c>
      <c r="Q201" s="94">
        <f t="shared" si="50"/>
        <v>8.8787417554540848</v>
      </c>
      <c r="R201" s="95"/>
    </row>
    <row r="202" spans="1:18" ht="54.6" customHeight="1" thickBot="1" x14ac:dyDescent="0.35">
      <c r="A202" s="90" t="s">
        <v>218</v>
      </c>
      <c r="E202" s="68"/>
      <c r="F202" s="91">
        <v>35</v>
      </c>
      <c r="G202" s="92">
        <v>2000</v>
      </c>
      <c r="H202" s="93">
        <f t="shared" si="51"/>
        <v>70000</v>
      </c>
      <c r="I202" s="45">
        <v>5000</v>
      </c>
      <c r="J202" s="60">
        <f t="shared" si="52"/>
        <v>2000</v>
      </c>
      <c r="K202" s="61">
        <f t="shared" si="55"/>
        <v>14000</v>
      </c>
      <c r="L202" s="62">
        <f t="shared" si="47"/>
        <v>1361.1111111111111</v>
      </c>
      <c r="M202" s="63"/>
      <c r="N202" s="84">
        <v>80</v>
      </c>
      <c r="O202">
        <f t="shared" si="48"/>
        <v>7884</v>
      </c>
      <c r="P202" s="94">
        <f t="shared" si="49"/>
        <v>11.262857142857143</v>
      </c>
      <c r="Q202" s="94">
        <f t="shared" si="50"/>
        <v>8.8787417554540848</v>
      </c>
      <c r="R202" s="95"/>
    </row>
    <row r="203" spans="1:18" ht="52.2" customHeight="1" thickBot="1" x14ac:dyDescent="0.35">
      <c r="A203" s="90" t="s">
        <v>219</v>
      </c>
      <c r="E203" s="68"/>
      <c r="F203" s="91">
        <v>35</v>
      </c>
      <c r="G203" s="92">
        <v>2000</v>
      </c>
      <c r="H203" s="93">
        <f t="shared" si="51"/>
        <v>70000</v>
      </c>
      <c r="I203" s="45">
        <v>5000</v>
      </c>
      <c r="J203" s="60">
        <f t="shared" si="52"/>
        <v>2000</v>
      </c>
      <c r="K203" s="61">
        <f t="shared" si="55"/>
        <v>14000</v>
      </c>
      <c r="L203" s="62">
        <f t="shared" si="47"/>
        <v>1361.1111111111111</v>
      </c>
      <c r="M203" s="63"/>
      <c r="N203" s="84">
        <v>80</v>
      </c>
      <c r="O203">
        <f t="shared" si="48"/>
        <v>7884</v>
      </c>
      <c r="P203" s="94">
        <f t="shared" si="49"/>
        <v>11.262857142857143</v>
      </c>
      <c r="Q203" s="94">
        <f t="shared" si="50"/>
        <v>8.8787417554540848</v>
      </c>
      <c r="R203" s="95"/>
    </row>
    <row r="204" spans="1:18" ht="46.2" customHeight="1" thickBot="1" x14ac:dyDescent="0.35">
      <c r="A204" s="90" t="s">
        <v>220</v>
      </c>
      <c r="E204" s="68"/>
      <c r="F204" s="91">
        <v>35</v>
      </c>
      <c r="G204" s="92">
        <v>2000</v>
      </c>
      <c r="H204" s="93">
        <f t="shared" si="51"/>
        <v>70000</v>
      </c>
      <c r="I204" s="45">
        <v>5000</v>
      </c>
      <c r="J204" s="60">
        <f t="shared" si="52"/>
        <v>2000</v>
      </c>
      <c r="K204" s="61">
        <f t="shared" si="55"/>
        <v>14000</v>
      </c>
      <c r="L204" s="62">
        <f t="shared" si="47"/>
        <v>1361.1111111111111</v>
      </c>
      <c r="M204" s="63"/>
      <c r="N204" s="84">
        <v>80</v>
      </c>
      <c r="O204">
        <f t="shared" si="48"/>
        <v>7884</v>
      </c>
      <c r="P204" s="94">
        <f t="shared" si="49"/>
        <v>11.262857142857143</v>
      </c>
      <c r="Q204" s="94">
        <f t="shared" si="50"/>
        <v>8.8787417554540848</v>
      </c>
      <c r="R204" s="95"/>
    </row>
    <row r="205" spans="1:18" ht="49.2" customHeight="1" thickBot="1" x14ac:dyDescent="0.35">
      <c r="A205" s="90" t="s">
        <v>221</v>
      </c>
      <c r="E205" s="68"/>
      <c r="F205" s="91">
        <v>35</v>
      </c>
      <c r="G205" s="92">
        <v>2000</v>
      </c>
      <c r="H205" s="93">
        <f t="shared" si="51"/>
        <v>70000</v>
      </c>
      <c r="I205" s="45">
        <v>5000</v>
      </c>
      <c r="J205" s="60">
        <f t="shared" si="52"/>
        <v>2000</v>
      </c>
      <c r="K205" s="61">
        <f t="shared" si="55"/>
        <v>14000</v>
      </c>
      <c r="L205" s="62">
        <f t="shared" si="47"/>
        <v>1361.1111111111111</v>
      </c>
      <c r="M205" s="63"/>
      <c r="N205" s="84">
        <v>80</v>
      </c>
      <c r="O205">
        <f t="shared" si="48"/>
        <v>7884</v>
      </c>
      <c r="P205" s="94">
        <f t="shared" si="49"/>
        <v>11.262857142857143</v>
      </c>
      <c r="Q205" s="94">
        <f t="shared" si="50"/>
        <v>8.8787417554540848</v>
      </c>
      <c r="R205" s="95"/>
    </row>
    <row r="206" spans="1:18" ht="51" customHeight="1" thickBot="1" x14ac:dyDescent="0.35">
      <c r="A206" s="90" t="s">
        <v>222</v>
      </c>
      <c r="E206" s="68"/>
      <c r="F206" s="91">
        <v>35</v>
      </c>
      <c r="G206" s="92">
        <v>2000</v>
      </c>
      <c r="H206" s="93">
        <f t="shared" si="51"/>
        <v>70000</v>
      </c>
      <c r="I206" s="45">
        <v>5000</v>
      </c>
      <c r="J206" s="60">
        <f t="shared" si="52"/>
        <v>2000</v>
      </c>
      <c r="K206" s="61">
        <f t="shared" si="55"/>
        <v>14000</v>
      </c>
      <c r="L206" s="62">
        <f t="shared" si="47"/>
        <v>1361.1111111111111</v>
      </c>
      <c r="M206" s="63"/>
      <c r="N206" s="84">
        <v>80</v>
      </c>
      <c r="O206">
        <f t="shared" si="48"/>
        <v>7884</v>
      </c>
      <c r="P206" s="94">
        <f t="shared" si="49"/>
        <v>11.262857142857143</v>
      </c>
      <c r="Q206" s="94">
        <f t="shared" si="50"/>
        <v>8.8787417554540848</v>
      </c>
      <c r="R206" s="95"/>
    </row>
    <row r="207" spans="1:18" ht="52.8" customHeight="1" thickBot="1" x14ac:dyDescent="0.35">
      <c r="A207" s="90" t="s">
        <v>223</v>
      </c>
      <c r="E207" s="68"/>
      <c r="F207" s="91">
        <v>35</v>
      </c>
      <c r="G207" s="92">
        <v>2000</v>
      </c>
      <c r="H207" s="93">
        <f t="shared" si="51"/>
        <v>70000</v>
      </c>
      <c r="I207" s="45">
        <v>5000</v>
      </c>
      <c r="J207" s="60">
        <f t="shared" si="52"/>
        <v>2000</v>
      </c>
      <c r="K207" s="61">
        <f t="shared" si="55"/>
        <v>14000</v>
      </c>
      <c r="L207" s="62">
        <f t="shared" si="47"/>
        <v>1361.1111111111111</v>
      </c>
      <c r="M207" s="63"/>
      <c r="N207" s="84">
        <v>80</v>
      </c>
      <c r="O207">
        <f t="shared" si="48"/>
        <v>7884</v>
      </c>
      <c r="P207" s="94">
        <f t="shared" si="49"/>
        <v>11.262857142857143</v>
      </c>
      <c r="Q207" s="94">
        <f t="shared" si="50"/>
        <v>8.8787417554540848</v>
      </c>
      <c r="R207" s="95"/>
    </row>
    <row r="208" spans="1:18" ht="51" customHeight="1" thickBot="1" x14ac:dyDescent="0.35">
      <c r="A208" s="90" t="s">
        <v>224</v>
      </c>
      <c r="E208" s="68"/>
      <c r="F208" s="91">
        <v>35</v>
      </c>
      <c r="G208" s="92">
        <v>2000</v>
      </c>
      <c r="H208" s="93">
        <f t="shared" si="51"/>
        <v>70000</v>
      </c>
      <c r="I208" s="45">
        <v>5000</v>
      </c>
      <c r="J208" s="60">
        <f t="shared" si="52"/>
        <v>2000</v>
      </c>
      <c r="K208" s="61">
        <f t="shared" si="55"/>
        <v>14000</v>
      </c>
      <c r="L208" s="62">
        <f t="shared" si="47"/>
        <v>1361.1111111111111</v>
      </c>
      <c r="M208" s="63"/>
      <c r="N208" s="84">
        <v>80</v>
      </c>
      <c r="O208">
        <f t="shared" si="48"/>
        <v>7884</v>
      </c>
      <c r="P208" s="94">
        <f t="shared" si="49"/>
        <v>11.262857142857143</v>
      </c>
      <c r="Q208" s="94">
        <f t="shared" si="50"/>
        <v>8.8787417554540848</v>
      </c>
      <c r="R208" s="95"/>
    </row>
    <row r="209" spans="1:18" ht="36" customHeight="1" thickBot="1" x14ac:dyDescent="0.35">
      <c r="A209" s="90" t="s">
        <v>225</v>
      </c>
      <c r="E209" s="68"/>
      <c r="F209" s="91">
        <v>35</v>
      </c>
      <c r="G209" s="92">
        <v>2000</v>
      </c>
      <c r="H209" s="93">
        <f t="shared" si="51"/>
        <v>70000</v>
      </c>
      <c r="I209" s="45">
        <v>5000</v>
      </c>
      <c r="J209" s="60">
        <f t="shared" si="52"/>
        <v>2000</v>
      </c>
      <c r="K209" s="61">
        <f t="shared" si="55"/>
        <v>14000</v>
      </c>
      <c r="L209" s="62">
        <f t="shared" si="47"/>
        <v>1361.1111111111111</v>
      </c>
      <c r="M209" s="63"/>
      <c r="N209" s="84">
        <v>80</v>
      </c>
      <c r="O209">
        <f t="shared" si="48"/>
        <v>7884</v>
      </c>
      <c r="P209" s="94">
        <f t="shared" si="49"/>
        <v>11.262857142857143</v>
      </c>
      <c r="Q209" s="94">
        <f t="shared" si="50"/>
        <v>8.8787417554540848</v>
      </c>
      <c r="R209" s="95"/>
    </row>
    <row r="210" spans="1:18" ht="43.2" customHeight="1" thickBot="1" x14ac:dyDescent="0.35">
      <c r="A210" s="90" t="s">
        <v>226</v>
      </c>
      <c r="E210" s="68"/>
      <c r="F210" s="91">
        <v>35</v>
      </c>
      <c r="G210" s="92">
        <v>2000</v>
      </c>
      <c r="H210" s="93">
        <f t="shared" si="51"/>
        <v>70000</v>
      </c>
      <c r="I210" s="45">
        <v>5000</v>
      </c>
      <c r="J210" s="60">
        <f t="shared" si="52"/>
        <v>2000</v>
      </c>
      <c r="K210" s="61">
        <f t="shared" si="55"/>
        <v>14000</v>
      </c>
      <c r="L210" s="62">
        <f t="shared" si="47"/>
        <v>1361.1111111111111</v>
      </c>
      <c r="M210" s="63"/>
      <c r="N210" s="84">
        <v>80</v>
      </c>
      <c r="O210">
        <f t="shared" si="48"/>
        <v>7884</v>
      </c>
      <c r="P210" s="94">
        <f t="shared" si="49"/>
        <v>11.262857142857143</v>
      </c>
      <c r="Q210" s="94">
        <f t="shared" si="50"/>
        <v>8.8787417554540848</v>
      </c>
      <c r="R210" s="95"/>
    </row>
    <row r="211" spans="1:18" ht="48" customHeight="1" thickBot="1" x14ac:dyDescent="0.35">
      <c r="A211" s="90" t="s">
        <v>228</v>
      </c>
      <c r="E211" s="68"/>
      <c r="F211" s="91">
        <v>35</v>
      </c>
      <c r="G211" s="92">
        <v>2000</v>
      </c>
      <c r="H211" s="93">
        <f t="shared" si="51"/>
        <v>70000</v>
      </c>
      <c r="I211" s="45">
        <v>5000</v>
      </c>
      <c r="J211" s="60">
        <f t="shared" si="52"/>
        <v>2000</v>
      </c>
      <c r="K211" s="61">
        <f t="shared" si="55"/>
        <v>14000</v>
      </c>
      <c r="L211" s="62">
        <f t="shared" si="47"/>
        <v>1361.1111111111111</v>
      </c>
      <c r="M211" s="63"/>
      <c r="N211" s="84">
        <v>80</v>
      </c>
      <c r="O211">
        <f t="shared" si="48"/>
        <v>7884</v>
      </c>
      <c r="P211" s="94">
        <f t="shared" si="49"/>
        <v>11.262857142857143</v>
      </c>
      <c r="Q211" s="94">
        <f t="shared" si="50"/>
        <v>8.8787417554540848</v>
      </c>
      <c r="R211" s="95"/>
    </row>
    <row r="212" spans="1:18" ht="42.6" customHeight="1" thickBot="1" x14ac:dyDescent="0.35">
      <c r="A212" s="90" t="s">
        <v>229</v>
      </c>
      <c r="E212" s="68"/>
      <c r="F212" s="91">
        <v>35</v>
      </c>
      <c r="G212" s="92">
        <v>2000</v>
      </c>
      <c r="H212" s="93">
        <f t="shared" si="51"/>
        <v>70000</v>
      </c>
      <c r="I212" s="45">
        <v>5000</v>
      </c>
      <c r="J212" s="60">
        <f t="shared" si="52"/>
        <v>2000</v>
      </c>
      <c r="K212" s="61">
        <f t="shared" si="55"/>
        <v>14000</v>
      </c>
      <c r="L212" s="62">
        <f t="shared" si="47"/>
        <v>1361.1111111111111</v>
      </c>
      <c r="M212" s="63"/>
      <c r="N212" s="84">
        <v>80</v>
      </c>
      <c r="O212">
        <f t="shared" si="48"/>
        <v>7884</v>
      </c>
      <c r="P212" s="94">
        <f t="shared" si="49"/>
        <v>11.262857142857143</v>
      </c>
      <c r="Q212" s="94">
        <f t="shared" si="50"/>
        <v>8.8787417554540848</v>
      </c>
      <c r="R212" s="95"/>
    </row>
    <row r="213" spans="1:18" ht="46.8" customHeight="1" thickBot="1" x14ac:dyDescent="0.35">
      <c r="A213" s="90" t="s">
        <v>230</v>
      </c>
      <c r="E213" s="68"/>
      <c r="F213" s="91">
        <v>35</v>
      </c>
      <c r="G213" s="92">
        <v>2000</v>
      </c>
      <c r="H213" s="93">
        <f t="shared" si="51"/>
        <v>70000</v>
      </c>
      <c r="I213" s="45">
        <v>5000</v>
      </c>
      <c r="J213" s="60">
        <f t="shared" si="52"/>
        <v>2000</v>
      </c>
      <c r="K213" s="61">
        <f t="shared" si="55"/>
        <v>14000</v>
      </c>
      <c r="L213" s="62">
        <f t="shared" si="47"/>
        <v>1361.1111111111111</v>
      </c>
      <c r="M213" s="63"/>
      <c r="N213" s="84">
        <v>80</v>
      </c>
      <c r="O213">
        <f t="shared" si="48"/>
        <v>7884</v>
      </c>
      <c r="P213" s="94">
        <f t="shared" si="49"/>
        <v>11.262857142857143</v>
      </c>
      <c r="Q213" s="94">
        <f t="shared" si="50"/>
        <v>8.8787417554540848</v>
      </c>
      <c r="R213" s="95"/>
    </row>
    <row r="214" spans="1:18" ht="47.4" customHeight="1" thickBot="1" x14ac:dyDescent="0.35">
      <c r="A214" s="90" t="s">
        <v>231</v>
      </c>
      <c r="E214" s="68"/>
      <c r="F214" s="91">
        <v>35</v>
      </c>
      <c r="G214" s="92">
        <v>2000</v>
      </c>
      <c r="H214" s="93">
        <f t="shared" si="51"/>
        <v>70000</v>
      </c>
      <c r="I214" s="45">
        <v>5000</v>
      </c>
      <c r="J214" s="60">
        <f t="shared" si="52"/>
        <v>2000</v>
      </c>
      <c r="K214" s="61">
        <f t="shared" si="55"/>
        <v>14000</v>
      </c>
      <c r="L214" s="62">
        <f t="shared" si="47"/>
        <v>1361.1111111111111</v>
      </c>
      <c r="M214" s="63"/>
      <c r="N214" s="84">
        <v>80</v>
      </c>
      <c r="O214">
        <f t="shared" si="48"/>
        <v>7884</v>
      </c>
      <c r="P214" s="94">
        <f t="shared" si="49"/>
        <v>11.262857142857143</v>
      </c>
      <c r="Q214" s="94">
        <f t="shared" si="50"/>
        <v>8.8787417554540848</v>
      </c>
      <c r="R214" s="95"/>
    </row>
    <row r="215" spans="1:18" ht="34.799999999999997" customHeight="1" thickBot="1" x14ac:dyDescent="0.35">
      <c r="A215" s="90" t="s">
        <v>232</v>
      </c>
      <c r="E215" s="68"/>
      <c r="F215" s="91">
        <v>35</v>
      </c>
      <c r="G215" s="92">
        <v>2000</v>
      </c>
      <c r="H215" s="93">
        <f t="shared" si="51"/>
        <v>70000</v>
      </c>
      <c r="I215" s="45">
        <v>5000</v>
      </c>
      <c r="J215" s="60">
        <f t="shared" si="52"/>
        <v>2000</v>
      </c>
      <c r="K215" s="61">
        <f t="shared" si="55"/>
        <v>14000</v>
      </c>
      <c r="L215" s="62">
        <f t="shared" si="47"/>
        <v>1361.1111111111111</v>
      </c>
      <c r="M215" s="63"/>
      <c r="N215" s="84">
        <v>80</v>
      </c>
      <c r="O215">
        <f t="shared" si="48"/>
        <v>7884</v>
      </c>
      <c r="P215" s="94">
        <f t="shared" si="49"/>
        <v>11.262857142857143</v>
      </c>
      <c r="Q215" s="94">
        <f t="shared" si="50"/>
        <v>8.8787417554540848</v>
      </c>
      <c r="R215" s="95"/>
    </row>
    <row r="216" spans="1:18" ht="40.200000000000003" customHeight="1" thickBot="1" x14ac:dyDescent="0.35">
      <c r="A216" s="90" t="s">
        <v>233</v>
      </c>
      <c r="E216" s="68"/>
      <c r="F216" s="91">
        <v>35</v>
      </c>
      <c r="G216" s="92">
        <v>2000</v>
      </c>
      <c r="H216" s="93">
        <f t="shared" si="51"/>
        <v>70000</v>
      </c>
      <c r="I216" s="45">
        <v>5000</v>
      </c>
      <c r="J216" s="60">
        <f t="shared" si="52"/>
        <v>2000</v>
      </c>
      <c r="K216" s="61">
        <f t="shared" si="55"/>
        <v>14000</v>
      </c>
      <c r="L216" s="62">
        <f t="shared" si="47"/>
        <v>1361.1111111111111</v>
      </c>
      <c r="M216" s="63"/>
      <c r="N216" s="84">
        <v>80</v>
      </c>
      <c r="O216">
        <f t="shared" si="48"/>
        <v>7884</v>
      </c>
      <c r="P216" s="94">
        <f t="shared" si="49"/>
        <v>11.262857142857143</v>
      </c>
      <c r="Q216" s="94">
        <f t="shared" si="50"/>
        <v>8.8787417554540848</v>
      </c>
      <c r="R216" s="95"/>
    </row>
    <row r="217" spans="1:18" ht="43.2" customHeight="1" thickBot="1" x14ac:dyDescent="0.35">
      <c r="A217" s="90" t="s">
        <v>234</v>
      </c>
      <c r="E217" s="68"/>
      <c r="F217" s="91">
        <v>35</v>
      </c>
      <c r="G217" s="92">
        <v>2000</v>
      </c>
      <c r="H217" s="93">
        <f t="shared" si="51"/>
        <v>70000</v>
      </c>
      <c r="I217" s="45">
        <v>5000</v>
      </c>
      <c r="J217" s="60">
        <f t="shared" si="52"/>
        <v>2000</v>
      </c>
      <c r="K217" s="61">
        <f t="shared" si="55"/>
        <v>14000</v>
      </c>
      <c r="L217" s="62">
        <f t="shared" si="47"/>
        <v>1361.1111111111111</v>
      </c>
      <c r="M217" s="63"/>
      <c r="N217" s="84">
        <v>80</v>
      </c>
      <c r="O217">
        <f t="shared" si="48"/>
        <v>7884</v>
      </c>
      <c r="P217" s="94">
        <f t="shared" si="49"/>
        <v>11.262857142857143</v>
      </c>
      <c r="Q217" s="94">
        <f t="shared" si="50"/>
        <v>8.8787417554540848</v>
      </c>
      <c r="R217" s="95"/>
    </row>
    <row r="218" spans="1:18" ht="34.799999999999997" customHeight="1" thickBot="1" x14ac:dyDescent="0.35">
      <c r="A218" s="90" t="s">
        <v>235</v>
      </c>
      <c r="E218" s="68"/>
      <c r="F218" s="91">
        <v>35</v>
      </c>
      <c r="G218" s="92">
        <v>2000</v>
      </c>
      <c r="H218" s="93">
        <f t="shared" si="51"/>
        <v>70000</v>
      </c>
      <c r="I218" s="45">
        <v>5000</v>
      </c>
      <c r="J218" s="60">
        <f t="shared" si="52"/>
        <v>2000</v>
      </c>
      <c r="K218" s="61">
        <f t="shared" si="55"/>
        <v>14000</v>
      </c>
      <c r="L218" s="62">
        <f t="shared" si="47"/>
        <v>1361.1111111111111</v>
      </c>
      <c r="M218" s="63"/>
      <c r="N218" s="84">
        <v>80</v>
      </c>
      <c r="O218">
        <f t="shared" si="48"/>
        <v>7884</v>
      </c>
      <c r="P218" s="94">
        <f t="shared" si="49"/>
        <v>11.262857142857143</v>
      </c>
      <c r="Q218" s="94">
        <f t="shared" si="50"/>
        <v>8.8787417554540848</v>
      </c>
      <c r="R218" s="95"/>
    </row>
    <row r="219" spans="1:18" ht="38.4" customHeight="1" thickBot="1" x14ac:dyDescent="0.35">
      <c r="A219" s="90" t="s">
        <v>236</v>
      </c>
      <c r="E219" s="68"/>
      <c r="F219" s="91">
        <v>35</v>
      </c>
      <c r="G219" s="92">
        <v>2000</v>
      </c>
      <c r="H219" s="93">
        <f t="shared" si="51"/>
        <v>70000</v>
      </c>
      <c r="I219" s="45">
        <v>5000</v>
      </c>
      <c r="J219" s="60">
        <f t="shared" si="52"/>
        <v>2000</v>
      </c>
      <c r="K219" s="61">
        <f t="shared" si="55"/>
        <v>14000</v>
      </c>
      <c r="L219" s="62">
        <f t="shared" si="47"/>
        <v>1361.1111111111111</v>
      </c>
      <c r="M219" s="63"/>
      <c r="N219" s="84">
        <v>80</v>
      </c>
      <c r="O219">
        <f t="shared" si="48"/>
        <v>7884</v>
      </c>
      <c r="P219" s="94">
        <f t="shared" si="49"/>
        <v>11.262857142857143</v>
      </c>
      <c r="Q219" s="94">
        <f t="shared" si="50"/>
        <v>8.8787417554540848</v>
      </c>
      <c r="R219" s="95"/>
    </row>
    <row r="220" spans="1:18" ht="34.200000000000003" customHeight="1" thickBot="1" x14ac:dyDescent="0.35">
      <c r="A220" s="90" t="s">
        <v>237</v>
      </c>
      <c r="E220" s="68"/>
      <c r="F220" s="91">
        <v>35</v>
      </c>
      <c r="G220" s="92">
        <v>2000</v>
      </c>
      <c r="H220" s="93">
        <f t="shared" si="51"/>
        <v>70000</v>
      </c>
      <c r="I220" s="45">
        <v>5000</v>
      </c>
      <c r="J220" s="60">
        <f t="shared" si="52"/>
        <v>2000</v>
      </c>
      <c r="K220" s="61">
        <f t="shared" si="55"/>
        <v>14000</v>
      </c>
      <c r="L220" s="62">
        <f t="shared" si="47"/>
        <v>1361.1111111111111</v>
      </c>
      <c r="M220" s="63"/>
      <c r="N220" s="84">
        <v>80</v>
      </c>
      <c r="O220">
        <f t="shared" si="48"/>
        <v>7884</v>
      </c>
      <c r="P220" s="94">
        <f t="shared" si="49"/>
        <v>11.262857142857143</v>
      </c>
      <c r="Q220" s="94">
        <f t="shared" si="50"/>
        <v>8.8787417554540848</v>
      </c>
      <c r="R220" s="95"/>
    </row>
    <row r="221" spans="1:18" ht="34.200000000000003" customHeight="1" thickBot="1" x14ac:dyDescent="0.35">
      <c r="A221" s="90" t="s">
        <v>238</v>
      </c>
      <c r="E221" s="68"/>
      <c r="F221" s="91">
        <v>35</v>
      </c>
      <c r="G221" s="92">
        <v>2000</v>
      </c>
      <c r="H221" s="93">
        <f t="shared" si="51"/>
        <v>70000</v>
      </c>
      <c r="I221" s="45">
        <v>5000</v>
      </c>
      <c r="J221" s="60">
        <f t="shared" si="52"/>
        <v>2000</v>
      </c>
      <c r="K221" s="61">
        <f t="shared" si="55"/>
        <v>14000</v>
      </c>
      <c r="L221" s="62">
        <f t="shared" si="47"/>
        <v>1361.1111111111111</v>
      </c>
      <c r="M221" s="63"/>
      <c r="N221" s="84">
        <v>80</v>
      </c>
      <c r="O221">
        <f t="shared" si="48"/>
        <v>7884</v>
      </c>
      <c r="P221" s="94">
        <f t="shared" si="49"/>
        <v>11.262857142857143</v>
      </c>
      <c r="Q221" s="94">
        <f t="shared" si="50"/>
        <v>8.8787417554540848</v>
      </c>
      <c r="R221" s="95"/>
    </row>
    <row r="222" spans="1:18" ht="37.799999999999997" customHeight="1" thickBot="1" x14ac:dyDescent="0.35">
      <c r="A222" s="90" t="s">
        <v>239</v>
      </c>
      <c r="E222" s="68"/>
      <c r="F222" s="91">
        <v>35</v>
      </c>
      <c r="G222" s="92">
        <v>2000</v>
      </c>
      <c r="H222" s="93">
        <f t="shared" si="51"/>
        <v>70000</v>
      </c>
      <c r="I222" s="45">
        <v>5000</v>
      </c>
      <c r="J222" s="60">
        <f t="shared" si="52"/>
        <v>2000</v>
      </c>
      <c r="K222" s="61">
        <f t="shared" si="55"/>
        <v>14000</v>
      </c>
      <c r="L222" s="62">
        <f t="shared" si="47"/>
        <v>1361.1111111111111</v>
      </c>
      <c r="M222" s="63"/>
      <c r="N222" s="84">
        <v>80</v>
      </c>
      <c r="O222">
        <f t="shared" si="48"/>
        <v>7884</v>
      </c>
      <c r="P222" s="94">
        <f t="shared" si="49"/>
        <v>11.262857142857143</v>
      </c>
      <c r="Q222" s="94">
        <f t="shared" si="50"/>
        <v>8.8787417554540848</v>
      </c>
      <c r="R222" s="95"/>
    </row>
    <row r="223" spans="1:18" ht="37.799999999999997" customHeight="1" thickBot="1" x14ac:dyDescent="0.35">
      <c r="A223" s="90" t="s">
        <v>240</v>
      </c>
      <c r="E223" s="68"/>
      <c r="F223" s="91">
        <v>35</v>
      </c>
      <c r="G223" s="92">
        <v>2000</v>
      </c>
      <c r="H223" s="93">
        <f t="shared" si="51"/>
        <v>70000</v>
      </c>
      <c r="I223" s="45">
        <v>5000</v>
      </c>
      <c r="J223" s="60">
        <f t="shared" si="52"/>
        <v>2000</v>
      </c>
      <c r="K223" s="61">
        <f t="shared" si="55"/>
        <v>14000</v>
      </c>
      <c r="L223" s="62">
        <f t="shared" si="47"/>
        <v>1361.1111111111111</v>
      </c>
      <c r="M223" s="63"/>
      <c r="N223" s="84">
        <v>80</v>
      </c>
      <c r="O223">
        <f t="shared" si="48"/>
        <v>7884</v>
      </c>
      <c r="P223" s="94">
        <f t="shared" si="49"/>
        <v>11.262857142857143</v>
      </c>
      <c r="Q223" s="94">
        <f t="shared" si="50"/>
        <v>8.8787417554540848</v>
      </c>
      <c r="R223" s="95"/>
    </row>
    <row r="224" spans="1:18" ht="42" customHeight="1" thickBot="1" x14ac:dyDescent="0.35">
      <c r="A224" s="90" t="s">
        <v>241</v>
      </c>
      <c r="E224" s="68"/>
      <c r="F224" s="91">
        <v>35</v>
      </c>
      <c r="G224" s="92">
        <v>2000</v>
      </c>
      <c r="H224" s="93">
        <f t="shared" si="51"/>
        <v>70000</v>
      </c>
      <c r="I224" s="45">
        <v>5000</v>
      </c>
      <c r="J224" s="60">
        <f t="shared" si="52"/>
        <v>2000</v>
      </c>
      <c r="K224" s="61">
        <f t="shared" si="55"/>
        <v>14000</v>
      </c>
      <c r="L224" s="62">
        <f t="shared" si="47"/>
        <v>1361.1111111111111</v>
      </c>
      <c r="M224" s="63"/>
      <c r="N224" s="84">
        <v>80</v>
      </c>
      <c r="O224">
        <f t="shared" si="48"/>
        <v>7884</v>
      </c>
      <c r="P224" s="94">
        <f t="shared" si="49"/>
        <v>11.262857142857143</v>
      </c>
      <c r="Q224" s="94">
        <f t="shared" si="50"/>
        <v>8.8787417554540848</v>
      </c>
      <c r="R224" s="95"/>
    </row>
    <row r="225" spans="1:18" ht="38.4" customHeight="1" thickBot="1" x14ac:dyDescent="0.35">
      <c r="A225" s="90" t="s">
        <v>242</v>
      </c>
      <c r="E225" s="68"/>
      <c r="F225" s="91">
        <v>35</v>
      </c>
      <c r="G225" s="92">
        <v>2000</v>
      </c>
      <c r="H225" s="93">
        <f t="shared" si="51"/>
        <v>70000</v>
      </c>
      <c r="I225" s="45">
        <v>5000</v>
      </c>
      <c r="J225" s="60">
        <f t="shared" si="52"/>
        <v>2000</v>
      </c>
      <c r="K225" s="61">
        <f t="shared" si="55"/>
        <v>14000</v>
      </c>
      <c r="L225" s="62">
        <f t="shared" si="47"/>
        <v>1361.1111111111111</v>
      </c>
      <c r="M225" s="63"/>
      <c r="N225" s="84">
        <v>80</v>
      </c>
      <c r="O225">
        <f t="shared" si="48"/>
        <v>7884</v>
      </c>
      <c r="P225" s="94">
        <f t="shared" si="49"/>
        <v>11.262857142857143</v>
      </c>
      <c r="Q225" s="94">
        <f t="shared" si="50"/>
        <v>8.8787417554540848</v>
      </c>
      <c r="R225" s="95"/>
    </row>
    <row r="226" spans="1:18" ht="38.4" customHeight="1" thickBot="1" x14ac:dyDescent="0.35">
      <c r="A226" s="90" t="s">
        <v>243</v>
      </c>
      <c r="E226" s="68"/>
      <c r="F226" s="91">
        <v>35</v>
      </c>
      <c r="G226" s="92">
        <v>2000</v>
      </c>
      <c r="H226" s="93">
        <f t="shared" si="51"/>
        <v>70000</v>
      </c>
      <c r="I226" s="45">
        <v>5000</v>
      </c>
      <c r="J226" s="60">
        <f t="shared" si="52"/>
        <v>2000</v>
      </c>
      <c r="K226" s="61">
        <f t="shared" si="55"/>
        <v>14000</v>
      </c>
      <c r="L226" s="62">
        <f t="shared" si="47"/>
        <v>1361.1111111111111</v>
      </c>
      <c r="M226" s="63"/>
      <c r="N226" s="84">
        <v>80</v>
      </c>
      <c r="O226">
        <f t="shared" si="48"/>
        <v>7884</v>
      </c>
      <c r="P226" s="94">
        <f t="shared" si="49"/>
        <v>11.262857142857143</v>
      </c>
      <c r="Q226" s="94">
        <f t="shared" si="50"/>
        <v>8.8787417554540848</v>
      </c>
      <c r="R226" s="95"/>
    </row>
    <row r="227" spans="1:18" ht="37.799999999999997" customHeight="1" thickBot="1" x14ac:dyDescent="0.35">
      <c r="A227" s="90" t="s">
        <v>244</v>
      </c>
      <c r="E227" s="68"/>
      <c r="F227" s="91">
        <v>35</v>
      </c>
      <c r="G227" s="92">
        <v>2000</v>
      </c>
      <c r="H227" s="93">
        <f t="shared" si="51"/>
        <v>70000</v>
      </c>
      <c r="I227" s="45">
        <v>5000</v>
      </c>
      <c r="J227" s="60">
        <f t="shared" si="52"/>
        <v>2000</v>
      </c>
      <c r="K227" s="61">
        <f t="shared" si="55"/>
        <v>14000</v>
      </c>
      <c r="L227" s="62">
        <f t="shared" si="47"/>
        <v>1361.1111111111111</v>
      </c>
      <c r="M227" s="63"/>
      <c r="N227" s="84">
        <v>80</v>
      </c>
      <c r="O227">
        <f t="shared" si="48"/>
        <v>7884</v>
      </c>
      <c r="P227" s="94">
        <f t="shared" si="49"/>
        <v>11.262857142857143</v>
      </c>
      <c r="Q227" s="94">
        <f t="shared" si="50"/>
        <v>8.8787417554540848</v>
      </c>
      <c r="R227" s="95"/>
    </row>
    <row r="228" spans="1:18" ht="33.6" customHeight="1" thickBot="1" x14ac:dyDescent="0.35">
      <c r="A228" s="90" t="s">
        <v>245</v>
      </c>
      <c r="E228" s="68"/>
      <c r="F228" s="91">
        <v>35</v>
      </c>
      <c r="G228" s="92">
        <v>2000</v>
      </c>
      <c r="H228" s="93">
        <f t="shared" si="51"/>
        <v>70000</v>
      </c>
      <c r="I228" s="45">
        <v>5000</v>
      </c>
      <c r="J228" s="60">
        <f t="shared" si="52"/>
        <v>2000</v>
      </c>
      <c r="K228" s="61">
        <f t="shared" si="55"/>
        <v>14000</v>
      </c>
      <c r="L228" s="62">
        <f t="shared" si="47"/>
        <v>1361.1111111111111</v>
      </c>
      <c r="M228" s="63"/>
      <c r="N228" s="84">
        <v>80</v>
      </c>
      <c r="O228">
        <f t="shared" si="48"/>
        <v>7884</v>
      </c>
      <c r="P228" s="94">
        <f t="shared" si="49"/>
        <v>11.262857142857143</v>
      </c>
      <c r="Q228" s="94">
        <f t="shared" si="50"/>
        <v>8.8787417554540848</v>
      </c>
      <c r="R228" s="95"/>
    </row>
    <row r="229" spans="1:18" ht="31.8" customHeight="1" thickBot="1" x14ac:dyDescent="0.35">
      <c r="A229" s="90" t="s">
        <v>246</v>
      </c>
      <c r="E229" s="68"/>
      <c r="F229" s="91">
        <v>35</v>
      </c>
      <c r="G229" s="92">
        <v>2000</v>
      </c>
      <c r="H229" s="93">
        <f t="shared" si="51"/>
        <v>70000</v>
      </c>
      <c r="I229" s="45">
        <v>5000</v>
      </c>
      <c r="J229" s="60">
        <f t="shared" si="52"/>
        <v>2000</v>
      </c>
      <c r="K229" s="61">
        <f t="shared" si="55"/>
        <v>14000</v>
      </c>
      <c r="L229" s="62">
        <f t="shared" si="47"/>
        <v>1361.1111111111111</v>
      </c>
      <c r="M229" s="63"/>
      <c r="N229" s="84">
        <v>80</v>
      </c>
      <c r="O229">
        <f t="shared" si="48"/>
        <v>7884</v>
      </c>
      <c r="P229" s="94">
        <f t="shared" si="49"/>
        <v>11.262857142857143</v>
      </c>
      <c r="Q229" s="94">
        <f t="shared" si="50"/>
        <v>8.8787417554540848</v>
      </c>
      <c r="R229" s="95"/>
    </row>
    <row r="230" spans="1:18" ht="46.8" customHeight="1" thickBot="1" x14ac:dyDescent="0.35">
      <c r="A230" s="90" t="s">
        <v>247</v>
      </c>
      <c r="E230" s="68"/>
      <c r="F230" s="91">
        <v>35</v>
      </c>
      <c r="G230" s="92">
        <v>2000</v>
      </c>
      <c r="H230" s="93">
        <f t="shared" si="51"/>
        <v>70000</v>
      </c>
      <c r="I230" s="45">
        <v>5000</v>
      </c>
      <c r="J230" s="60">
        <f t="shared" si="52"/>
        <v>2000</v>
      </c>
      <c r="K230" s="61">
        <f t="shared" si="55"/>
        <v>14000</v>
      </c>
      <c r="L230" s="62">
        <f t="shared" si="47"/>
        <v>1361.1111111111111</v>
      </c>
      <c r="M230" s="63"/>
      <c r="N230" s="84">
        <v>80</v>
      </c>
      <c r="O230">
        <f t="shared" si="48"/>
        <v>7884</v>
      </c>
      <c r="P230" s="94">
        <f t="shared" si="49"/>
        <v>11.262857142857143</v>
      </c>
      <c r="Q230" s="94">
        <f t="shared" si="50"/>
        <v>8.8787417554540848</v>
      </c>
      <c r="R230" s="95"/>
    </row>
    <row r="231" spans="1:18" ht="31.2" customHeight="1" thickBot="1" x14ac:dyDescent="0.35">
      <c r="A231" s="90" t="s">
        <v>248</v>
      </c>
      <c r="E231" s="68"/>
      <c r="F231" s="91">
        <v>35</v>
      </c>
      <c r="G231" s="92">
        <v>2000</v>
      </c>
      <c r="H231" s="93">
        <f t="shared" si="51"/>
        <v>70000</v>
      </c>
      <c r="I231" s="45">
        <v>5000</v>
      </c>
      <c r="J231" s="60">
        <f t="shared" si="52"/>
        <v>2000</v>
      </c>
      <c r="K231" s="61">
        <f t="shared" si="55"/>
        <v>14000</v>
      </c>
      <c r="L231" s="62">
        <f t="shared" si="47"/>
        <v>1361.1111111111111</v>
      </c>
      <c r="M231" s="63"/>
      <c r="N231" s="84">
        <v>80</v>
      </c>
      <c r="O231">
        <f t="shared" si="48"/>
        <v>7884</v>
      </c>
      <c r="P231" s="94">
        <f t="shared" si="49"/>
        <v>11.262857142857143</v>
      </c>
      <c r="Q231" s="94">
        <f t="shared" si="50"/>
        <v>8.8787417554540848</v>
      </c>
      <c r="R231" s="95"/>
    </row>
    <row r="232" spans="1:18" ht="42.6" customHeight="1" thickBot="1" x14ac:dyDescent="0.35">
      <c r="A232" s="90" t="s">
        <v>249</v>
      </c>
      <c r="E232" s="68"/>
      <c r="F232" s="91">
        <v>35</v>
      </c>
      <c r="G232" s="92">
        <v>2000</v>
      </c>
      <c r="H232" s="93">
        <f t="shared" si="51"/>
        <v>70000</v>
      </c>
      <c r="I232" s="45">
        <v>5000</v>
      </c>
      <c r="J232" s="60">
        <f t="shared" si="52"/>
        <v>2000</v>
      </c>
      <c r="K232" s="61">
        <f t="shared" si="55"/>
        <v>14000</v>
      </c>
      <c r="L232" s="62">
        <f t="shared" si="47"/>
        <v>1361.1111111111111</v>
      </c>
      <c r="M232" s="63"/>
      <c r="N232" s="84">
        <v>80</v>
      </c>
      <c r="O232">
        <f t="shared" si="48"/>
        <v>7884</v>
      </c>
      <c r="P232" s="94">
        <f t="shared" si="49"/>
        <v>11.262857142857143</v>
      </c>
      <c r="Q232" s="94">
        <f t="shared" si="50"/>
        <v>8.8787417554540848</v>
      </c>
      <c r="R232" s="95"/>
    </row>
    <row r="233" spans="1:18" ht="15" thickBot="1" x14ac:dyDescent="0.35">
      <c r="A233" s="90" t="s">
        <v>250</v>
      </c>
      <c r="E233" s="68"/>
      <c r="F233" s="91">
        <v>35</v>
      </c>
      <c r="G233" s="92">
        <v>2000</v>
      </c>
      <c r="H233" s="93">
        <f t="shared" si="51"/>
        <v>70000</v>
      </c>
      <c r="I233" s="45">
        <v>5000</v>
      </c>
      <c r="J233" s="60">
        <f t="shared" si="52"/>
        <v>2000</v>
      </c>
      <c r="K233" s="61">
        <f t="shared" si="55"/>
        <v>14000</v>
      </c>
      <c r="L233" s="62">
        <f t="shared" si="47"/>
        <v>1361.1111111111111</v>
      </c>
      <c r="M233" s="63"/>
      <c r="N233" s="84">
        <v>80</v>
      </c>
      <c r="O233">
        <f t="shared" si="48"/>
        <v>7884</v>
      </c>
      <c r="P233" s="94">
        <f t="shared" si="49"/>
        <v>11.262857142857143</v>
      </c>
      <c r="Q233" s="94">
        <f t="shared" si="50"/>
        <v>8.8787417554540848</v>
      </c>
      <c r="R233" s="95"/>
    </row>
    <row r="234" spans="1:18" ht="48.6" customHeight="1" thickBot="1" x14ac:dyDescent="0.35">
      <c r="A234" s="90" t="s">
        <v>251</v>
      </c>
      <c r="E234" s="68"/>
      <c r="F234" s="91">
        <v>35</v>
      </c>
      <c r="G234" s="92">
        <v>2000</v>
      </c>
      <c r="H234" s="93">
        <f t="shared" si="51"/>
        <v>70000</v>
      </c>
      <c r="I234" s="45">
        <v>5000</v>
      </c>
      <c r="J234" s="60">
        <f t="shared" si="52"/>
        <v>2000</v>
      </c>
      <c r="K234" s="61">
        <f t="shared" si="55"/>
        <v>14000</v>
      </c>
      <c r="L234" s="62">
        <f t="shared" si="47"/>
        <v>1361.1111111111111</v>
      </c>
      <c r="M234" s="63"/>
      <c r="N234" s="84">
        <v>80</v>
      </c>
      <c r="O234">
        <f t="shared" si="48"/>
        <v>7884</v>
      </c>
      <c r="P234" s="94">
        <f t="shared" si="49"/>
        <v>11.262857142857143</v>
      </c>
      <c r="Q234" s="94">
        <f t="shared" si="50"/>
        <v>8.8787417554540848</v>
      </c>
      <c r="R234" s="95"/>
    </row>
    <row r="235" spans="1:18" ht="46.8" customHeight="1" thickBot="1" x14ac:dyDescent="0.35">
      <c r="A235" s="90" t="s">
        <v>252</v>
      </c>
      <c r="E235" s="68"/>
      <c r="F235" s="91">
        <v>35</v>
      </c>
      <c r="G235" s="92">
        <v>2000</v>
      </c>
      <c r="H235" s="93">
        <f t="shared" si="51"/>
        <v>70000</v>
      </c>
      <c r="I235" s="45">
        <v>5000</v>
      </c>
      <c r="J235" s="60">
        <f t="shared" si="52"/>
        <v>2000</v>
      </c>
      <c r="K235" s="61">
        <f t="shared" si="55"/>
        <v>14000</v>
      </c>
      <c r="L235" s="62">
        <f t="shared" si="47"/>
        <v>1361.1111111111111</v>
      </c>
      <c r="M235" s="63"/>
      <c r="N235" s="84">
        <v>80</v>
      </c>
      <c r="O235">
        <f t="shared" si="48"/>
        <v>7884</v>
      </c>
      <c r="P235" s="94">
        <f t="shared" si="49"/>
        <v>11.262857142857143</v>
      </c>
      <c r="Q235" s="94">
        <f t="shared" si="50"/>
        <v>8.8787417554540848</v>
      </c>
      <c r="R235" s="95"/>
    </row>
    <row r="236" spans="1:18" ht="42.6" customHeight="1" thickBot="1" x14ac:dyDescent="0.35">
      <c r="A236" s="90" t="s">
        <v>253</v>
      </c>
      <c r="E236" s="68"/>
      <c r="F236" s="91">
        <v>35</v>
      </c>
      <c r="G236" s="92">
        <v>2000</v>
      </c>
      <c r="H236" s="93">
        <f t="shared" si="51"/>
        <v>70000</v>
      </c>
      <c r="I236" s="45">
        <v>5000</v>
      </c>
      <c r="J236" s="60">
        <f t="shared" si="52"/>
        <v>2000</v>
      </c>
      <c r="K236" s="61">
        <f t="shared" si="55"/>
        <v>14000</v>
      </c>
      <c r="L236" s="62">
        <f t="shared" si="47"/>
        <v>1361.1111111111111</v>
      </c>
      <c r="M236" s="63"/>
      <c r="N236" s="84">
        <v>80</v>
      </c>
      <c r="O236">
        <f t="shared" si="48"/>
        <v>7884</v>
      </c>
      <c r="P236" s="94">
        <f t="shared" si="49"/>
        <v>11.262857142857143</v>
      </c>
      <c r="Q236" s="94">
        <f t="shared" si="50"/>
        <v>8.8787417554540848</v>
      </c>
      <c r="R236" s="95"/>
    </row>
    <row r="237" spans="1:18" ht="40.799999999999997" customHeight="1" thickBot="1" x14ac:dyDescent="0.35">
      <c r="A237" s="90" t="s">
        <v>254</v>
      </c>
      <c r="E237" s="68"/>
      <c r="F237" s="91">
        <v>35</v>
      </c>
      <c r="G237" s="92">
        <v>2000</v>
      </c>
      <c r="H237" s="93">
        <f t="shared" si="51"/>
        <v>70000</v>
      </c>
      <c r="I237" s="45">
        <v>5000</v>
      </c>
      <c r="J237" s="60">
        <f t="shared" si="52"/>
        <v>2000</v>
      </c>
      <c r="K237" s="61">
        <f t="shared" si="55"/>
        <v>14000</v>
      </c>
      <c r="L237" s="62">
        <f t="shared" si="47"/>
        <v>1361.1111111111111</v>
      </c>
      <c r="M237" s="63"/>
      <c r="N237" s="84">
        <v>80</v>
      </c>
      <c r="O237">
        <f t="shared" si="48"/>
        <v>7884</v>
      </c>
      <c r="P237" s="94">
        <f t="shared" si="49"/>
        <v>11.262857142857143</v>
      </c>
      <c r="Q237" s="94">
        <f t="shared" si="50"/>
        <v>8.8787417554540848</v>
      </c>
      <c r="R237" s="95"/>
    </row>
    <row r="238" spans="1:18" ht="15" thickBot="1" x14ac:dyDescent="0.35">
      <c r="A238" s="90" t="s">
        <v>255</v>
      </c>
      <c r="E238" s="68"/>
      <c r="F238" s="91">
        <v>35</v>
      </c>
      <c r="G238" s="92">
        <v>2000</v>
      </c>
      <c r="H238" s="93">
        <f t="shared" si="51"/>
        <v>70000</v>
      </c>
      <c r="I238" s="45">
        <v>5000</v>
      </c>
      <c r="J238" s="60">
        <f t="shared" si="52"/>
        <v>2000</v>
      </c>
      <c r="K238" s="61">
        <f t="shared" si="55"/>
        <v>14000</v>
      </c>
      <c r="L238" s="62">
        <f t="shared" si="47"/>
        <v>1361.1111111111111</v>
      </c>
      <c r="M238" s="63"/>
      <c r="N238" s="84">
        <v>80</v>
      </c>
      <c r="O238">
        <f t="shared" si="48"/>
        <v>7884</v>
      </c>
      <c r="P238" s="94">
        <f t="shared" si="49"/>
        <v>11.262857142857143</v>
      </c>
      <c r="Q238" s="94">
        <f t="shared" si="50"/>
        <v>8.8787417554540848</v>
      </c>
      <c r="R238" s="95"/>
    </row>
    <row r="239" spans="1:18" ht="15" thickBot="1" x14ac:dyDescent="0.35">
      <c r="A239" s="90" t="s">
        <v>256</v>
      </c>
      <c r="E239" s="68"/>
      <c r="F239" s="91">
        <v>35</v>
      </c>
      <c r="G239" s="92">
        <v>2000</v>
      </c>
      <c r="H239" s="93">
        <f t="shared" si="51"/>
        <v>70000</v>
      </c>
      <c r="I239" s="45">
        <v>5000</v>
      </c>
      <c r="J239" s="60">
        <f t="shared" si="52"/>
        <v>2000</v>
      </c>
      <c r="K239" s="61">
        <f t="shared" si="55"/>
        <v>14000</v>
      </c>
      <c r="L239" s="62">
        <f t="shared" si="47"/>
        <v>1361.1111111111111</v>
      </c>
      <c r="M239" s="63"/>
      <c r="N239" s="84">
        <v>80</v>
      </c>
      <c r="O239">
        <f t="shared" si="48"/>
        <v>7884</v>
      </c>
      <c r="P239" s="94">
        <f t="shared" si="49"/>
        <v>11.262857142857143</v>
      </c>
      <c r="Q239" s="94">
        <f t="shared" si="50"/>
        <v>8.8787417554540848</v>
      </c>
      <c r="R239" s="95"/>
    </row>
    <row r="240" spans="1:18" ht="15" thickBot="1" x14ac:dyDescent="0.35">
      <c r="A240" s="90" t="s">
        <v>257</v>
      </c>
      <c r="E240" s="68"/>
      <c r="F240" s="91">
        <v>35</v>
      </c>
      <c r="G240" s="92">
        <v>2000</v>
      </c>
      <c r="H240" s="93">
        <f t="shared" si="51"/>
        <v>70000</v>
      </c>
      <c r="I240" s="45">
        <v>5000</v>
      </c>
      <c r="J240" s="60">
        <f t="shared" si="52"/>
        <v>2000</v>
      </c>
      <c r="K240" s="61">
        <f t="shared" si="55"/>
        <v>14000</v>
      </c>
      <c r="L240" s="62">
        <f t="shared" si="47"/>
        <v>1361.1111111111111</v>
      </c>
      <c r="M240" s="63"/>
      <c r="N240" s="84">
        <v>80</v>
      </c>
      <c r="O240">
        <f t="shared" si="48"/>
        <v>7884</v>
      </c>
      <c r="P240" s="94">
        <f t="shared" si="49"/>
        <v>11.262857142857143</v>
      </c>
      <c r="Q240" s="94">
        <f t="shared" si="50"/>
        <v>8.8787417554540848</v>
      </c>
      <c r="R240" s="95"/>
    </row>
    <row r="241" spans="1:18" ht="43.8" customHeight="1" thickBot="1" x14ac:dyDescent="0.35">
      <c r="A241" s="90" t="s">
        <v>258</v>
      </c>
      <c r="E241" s="68"/>
      <c r="F241" s="91">
        <v>35</v>
      </c>
      <c r="G241" s="92">
        <v>2000</v>
      </c>
      <c r="H241" s="93">
        <f t="shared" si="51"/>
        <v>70000</v>
      </c>
      <c r="I241" s="45">
        <v>5000</v>
      </c>
      <c r="J241" s="60">
        <f t="shared" si="52"/>
        <v>2000</v>
      </c>
      <c r="K241" s="61">
        <f t="shared" si="55"/>
        <v>14000</v>
      </c>
      <c r="L241" s="62">
        <f t="shared" si="47"/>
        <v>1361.1111111111111</v>
      </c>
      <c r="M241" s="63"/>
      <c r="N241" s="84">
        <v>80</v>
      </c>
      <c r="O241">
        <f t="shared" si="48"/>
        <v>7884</v>
      </c>
      <c r="P241" s="94">
        <f t="shared" si="49"/>
        <v>11.262857142857143</v>
      </c>
      <c r="Q241" s="94">
        <f t="shared" si="50"/>
        <v>8.8787417554540848</v>
      </c>
      <c r="R241" s="95"/>
    </row>
    <row r="242" spans="1:18" ht="34.799999999999997" customHeight="1" thickBot="1" x14ac:dyDescent="0.35">
      <c r="A242" s="90" t="s">
        <v>259</v>
      </c>
      <c r="E242" s="68"/>
      <c r="F242" s="91">
        <v>35</v>
      </c>
      <c r="G242" s="92">
        <v>2000</v>
      </c>
      <c r="H242" s="93">
        <f t="shared" si="51"/>
        <v>70000</v>
      </c>
      <c r="I242" s="45">
        <v>5000</v>
      </c>
      <c r="J242" s="60">
        <f t="shared" si="52"/>
        <v>2000</v>
      </c>
      <c r="K242" s="61">
        <f t="shared" si="55"/>
        <v>14000</v>
      </c>
      <c r="L242" s="62">
        <f t="shared" si="47"/>
        <v>1361.1111111111111</v>
      </c>
      <c r="M242" s="63"/>
      <c r="N242" s="84">
        <v>80</v>
      </c>
      <c r="O242">
        <f t="shared" si="48"/>
        <v>7884</v>
      </c>
      <c r="P242" s="94">
        <f t="shared" si="49"/>
        <v>11.262857142857143</v>
      </c>
      <c r="Q242" s="94">
        <f t="shared" si="50"/>
        <v>8.8787417554540848</v>
      </c>
      <c r="R242" s="95"/>
    </row>
    <row r="243" spans="1:18" ht="52.2" customHeight="1" thickBot="1" x14ac:dyDescent="0.35">
      <c r="A243" s="90" t="s">
        <v>260</v>
      </c>
      <c r="E243" s="68"/>
      <c r="F243" s="91">
        <v>35</v>
      </c>
      <c r="G243" s="92">
        <v>2000</v>
      </c>
      <c r="H243" s="93">
        <f t="shared" si="51"/>
        <v>70000</v>
      </c>
      <c r="I243" s="45">
        <v>5000</v>
      </c>
      <c r="J243" s="60">
        <f t="shared" si="52"/>
        <v>2000</v>
      </c>
      <c r="K243" s="61">
        <f t="shared" si="55"/>
        <v>14000</v>
      </c>
      <c r="L243" s="62">
        <f t="shared" si="47"/>
        <v>1361.1111111111111</v>
      </c>
      <c r="M243" s="63"/>
      <c r="N243" s="84">
        <v>80</v>
      </c>
      <c r="O243">
        <f t="shared" si="48"/>
        <v>7884</v>
      </c>
      <c r="P243" s="94">
        <f t="shared" si="49"/>
        <v>11.262857142857143</v>
      </c>
      <c r="Q243" s="94">
        <f t="shared" si="50"/>
        <v>8.8787417554540848</v>
      </c>
      <c r="R243" s="95"/>
    </row>
    <row r="244" spans="1:18" ht="53.4" customHeight="1" thickBot="1" x14ac:dyDescent="0.35">
      <c r="A244" s="90" t="s">
        <v>261</v>
      </c>
      <c r="E244" s="68"/>
      <c r="F244" s="91">
        <v>35</v>
      </c>
      <c r="G244" s="92">
        <v>2000</v>
      </c>
      <c r="H244" s="93">
        <f t="shared" si="51"/>
        <v>70000</v>
      </c>
      <c r="I244" s="45">
        <v>5000</v>
      </c>
      <c r="J244" s="60">
        <f t="shared" si="52"/>
        <v>2000</v>
      </c>
      <c r="K244" s="61">
        <f t="shared" si="55"/>
        <v>14000</v>
      </c>
      <c r="L244" s="62">
        <f t="shared" si="47"/>
        <v>1361.1111111111111</v>
      </c>
      <c r="M244" s="63"/>
      <c r="N244" s="84">
        <v>80</v>
      </c>
      <c r="O244">
        <f t="shared" si="48"/>
        <v>7884</v>
      </c>
      <c r="P244" s="94">
        <f t="shared" si="49"/>
        <v>11.262857142857143</v>
      </c>
      <c r="Q244" s="94">
        <f t="shared" si="50"/>
        <v>8.8787417554540848</v>
      </c>
      <c r="R244" s="95"/>
    </row>
    <row r="245" spans="1:18" ht="51" customHeight="1" thickBot="1" x14ac:dyDescent="0.35">
      <c r="A245" s="90" t="s">
        <v>262</v>
      </c>
      <c r="E245" s="68"/>
      <c r="F245" s="91">
        <v>35</v>
      </c>
      <c r="G245" s="92">
        <v>2000</v>
      </c>
      <c r="H245" s="93">
        <f t="shared" si="51"/>
        <v>70000</v>
      </c>
      <c r="I245" s="45">
        <v>5000</v>
      </c>
      <c r="J245" s="60">
        <f t="shared" si="52"/>
        <v>2000</v>
      </c>
      <c r="K245" s="61">
        <f t="shared" si="55"/>
        <v>14000</v>
      </c>
      <c r="L245" s="62">
        <f t="shared" si="47"/>
        <v>1361.1111111111111</v>
      </c>
      <c r="M245" s="63"/>
      <c r="N245" s="84">
        <v>80</v>
      </c>
      <c r="O245">
        <f t="shared" si="48"/>
        <v>7884</v>
      </c>
      <c r="P245" s="94">
        <f t="shared" si="49"/>
        <v>11.262857142857143</v>
      </c>
      <c r="Q245" s="94">
        <f t="shared" si="50"/>
        <v>8.8787417554540848</v>
      </c>
      <c r="R245" s="95"/>
    </row>
    <row r="246" spans="1:18" ht="44.4" customHeight="1" thickBot="1" x14ac:dyDescent="0.35">
      <c r="A246" s="90" t="s">
        <v>263</v>
      </c>
      <c r="E246" s="68"/>
      <c r="F246" s="91">
        <v>35</v>
      </c>
      <c r="G246" s="92">
        <v>2000</v>
      </c>
      <c r="H246" s="93">
        <f t="shared" si="51"/>
        <v>70000</v>
      </c>
      <c r="I246" s="45">
        <v>5000</v>
      </c>
      <c r="J246" s="60">
        <f t="shared" si="52"/>
        <v>2000</v>
      </c>
      <c r="K246" s="61">
        <f t="shared" si="55"/>
        <v>14000</v>
      </c>
      <c r="L246" s="62">
        <f t="shared" si="47"/>
        <v>1361.1111111111111</v>
      </c>
      <c r="M246" s="63"/>
      <c r="N246" s="84">
        <v>80</v>
      </c>
      <c r="O246">
        <f t="shared" si="48"/>
        <v>7884</v>
      </c>
      <c r="P246" s="94">
        <f t="shared" si="49"/>
        <v>11.262857142857143</v>
      </c>
      <c r="Q246" s="94">
        <f t="shared" si="50"/>
        <v>8.8787417554540848</v>
      </c>
      <c r="R246" s="95"/>
    </row>
    <row r="247" spans="1:18" ht="41.4" customHeight="1" thickBot="1" x14ac:dyDescent="0.35">
      <c r="A247" s="90" t="s">
        <v>264</v>
      </c>
      <c r="E247" s="68"/>
      <c r="F247" s="91">
        <v>35</v>
      </c>
      <c r="G247" s="92">
        <v>2000</v>
      </c>
      <c r="H247" s="93">
        <f t="shared" si="51"/>
        <v>70000</v>
      </c>
      <c r="I247" s="45">
        <v>5000</v>
      </c>
      <c r="J247" s="60">
        <f t="shared" si="52"/>
        <v>2000</v>
      </c>
      <c r="K247" s="61">
        <f t="shared" si="55"/>
        <v>14000</v>
      </c>
      <c r="L247" s="62">
        <f t="shared" si="47"/>
        <v>1361.1111111111111</v>
      </c>
      <c r="M247" s="63"/>
      <c r="N247" s="84">
        <v>80</v>
      </c>
      <c r="O247">
        <f t="shared" si="48"/>
        <v>7884</v>
      </c>
      <c r="P247" s="94">
        <f t="shared" si="49"/>
        <v>11.262857142857143</v>
      </c>
      <c r="Q247" s="94">
        <f t="shared" si="50"/>
        <v>8.8787417554540848</v>
      </c>
      <c r="R247" s="95"/>
    </row>
    <row r="248" spans="1:18" ht="54.6" customHeight="1" thickBot="1" x14ac:dyDescent="0.35">
      <c r="A248" s="90" t="s">
        <v>265</v>
      </c>
      <c r="E248" s="68"/>
      <c r="F248" s="91">
        <v>35</v>
      </c>
      <c r="G248" s="92">
        <v>2000</v>
      </c>
      <c r="H248" s="93">
        <f t="shared" si="51"/>
        <v>70000</v>
      </c>
      <c r="I248" s="45">
        <v>5000</v>
      </c>
      <c r="J248" s="60">
        <f t="shared" si="52"/>
        <v>2000</v>
      </c>
      <c r="K248" s="61">
        <f t="shared" si="55"/>
        <v>14000</v>
      </c>
      <c r="L248" s="62">
        <f t="shared" si="47"/>
        <v>1361.1111111111111</v>
      </c>
      <c r="M248" s="63"/>
      <c r="N248" s="84">
        <v>80</v>
      </c>
      <c r="O248">
        <f t="shared" si="48"/>
        <v>7884</v>
      </c>
      <c r="P248" s="94">
        <f t="shared" si="49"/>
        <v>11.262857142857143</v>
      </c>
      <c r="Q248" s="94">
        <f t="shared" si="50"/>
        <v>8.8787417554540848</v>
      </c>
      <c r="R248" s="95"/>
    </row>
    <row r="249" spans="1:18" ht="54" customHeight="1" thickBot="1" x14ac:dyDescent="0.35">
      <c r="A249" s="90" t="s">
        <v>266</v>
      </c>
      <c r="E249" s="68"/>
      <c r="F249" s="91">
        <v>35</v>
      </c>
      <c r="G249" s="92">
        <v>2000</v>
      </c>
      <c r="H249" s="93">
        <f t="shared" si="51"/>
        <v>70000</v>
      </c>
      <c r="I249" s="45">
        <v>5000</v>
      </c>
      <c r="J249" s="60">
        <f t="shared" si="52"/>
        <v>2000</v>
      </c>
      <c r="K249" s="61">
        <f t="shared" si="55"/>
        <v>14000</v>
      </c>
      <c r="L249" s="62">
        <f t="shared" si="47"/>
        <v>1361.1111111111111</v>
      </c>
      <c r="M249" s="63"/>
      <c r="N249" s="84">
        <v>80</v>
      </c>
      <c r="O249">
        <f t="shared" si="48"/>
        <v>7884</v>
      </c>
      <c r="P249" s="94">
        <f t="shared" si="49"/>
        <v>11.262857142857143</v>
      </c>
      <c r="Q249" s="94">
        <f t="shared" si="50"/>
        <v>8.8787417554540848</v>
      </c>
      <c r="R249" s="95"/>
    </row>
    <row r="250" spans="1:18" ht="51.6" customHeight="1" thickBot="1" x14ac:dyDescent="0.35">
      <c r="A250" s="90" t="s">
        <v>267</v>
      </c>
      <c r="E250" s="68"/>
      <c r="F250" s="91">
        <v>35</v>
      </c>
      <c r="G250" s="92">
        <v>2000</v>
      </c>
      <c r="H250" s="93">
        <f t="shared" si="51"/>
        <v>70000</v>
      </c>
      <c r="I250" s="45">
        <v>5000</v>
      </c>
      <c r="J250" s="60">
        <f t="shared" si="52"/>
        <v>2000</v>
      </c>
      <c r="K250" s="61">
        <f t="shared" si="55"/>
        <v>14000</v>
      </c>
      <c r="L250" s="62">
        <f t="shared" si="47"/>
        <v>1361.1111111111111</v>
      </c>
      <c r="M250" s="63"/>
      <c r="N250" s="84">
        <v>80</v>
      </c>
      <c r="O250">
        <f t="shared" si="48"/>
        <v>7884</v>
      </c>
      <c r="P250" s="94">
        <f t="shared" si="49"/>
        <v>11.262857142857143</v>
      </c>
      <c r="Q250" s="94">
        <f t="shared" si="50"/>
        <v>8.8787417554540848</v>
      </c>
      <c r="R250" s="95"/>
    </row>
    <row r="251" spans="1:18" ht="52.2" customHeight="1" thickBot="1" x14ac:dyDescent="0.35">
      <c r="A251" s="90" t="s">
        <v>268</v>
      </c>
      <c r="E251" s="68"/>
      <c r="F251" s="91">
        <v>35</v>
      </c>
      <c r="G251" s="92">
        <v>2000</v>
      </c>
      <c r="H251" s="93">
        <f t="shared" si="51"/>
        <v>70000</v>
      </c>
      <c r="I251" s="45">
        <v>5000</v>
      </c>
      <c r="J251" s="60">
        <f t="shared" si="52"/>
        <v>2000</v>
      </c>
      <c r="K251" s="61">
        <f t="shared" si="55"/>
        <v>14000</v>
      </c>
      <c r="L251" s="62">
        <f t="shared" si="47"/>
        <v>1361.1111111111111</v>
      </c>
      <c r="M251" s="63"/>
      <c r="N251" s="84">
        <v>80</v>
      </c>
      <c r="O251">
        <f t="shared" si="48"/>
        <v>7884</v>
      </c>
      <c r="P251" s="94">
        <f t="shared" si="49"/>
        <v>11.262857142857143</v>
      </c>
      <c r="Q251" s="94">
        <f t="shared" si="50"/>
        <v>8.8787417554540848</v>
      </c>
      <c r="R251" s="95"/>
    </row>
    <row r="252" spans="1:18" ht="51.6" customHeight="1" thickBot="1" x14ac:dyDescent="0.35">
      <c r="A252" s="90" t="s">
        <v>269</v>
      </c>
      <c r="E252" s="68"/>
      <c r="F252" s="91">
        <v>35</v>
      </c>
      <c r="G252" s="92">
        <v>2000</v>
      </c>
      <c r="H252" s="93">
        <f t="shared" si="51"/>
        <v>70000</v>
      </c>
      <c r="I252" s="45">
        <v>5000</v>
      </c>
      <c r="J252" s="60">
        <f t="shared" si="52"/>
        <v>2000</v>
      </c>
      <c r="K252" s="61">
        <f t="shared" si="55"/>
        <v>14000</v>
      </c>
      <c r="L252" s="62">
        <f t="shared" si="47"/>
        <v>1361.1111111111111</v>
      </c>
      <c r="M252" s="63"/>
      <c r="N252" s="84">
        <v>80</v>
      </c>
      <c r="O252">
        <f t="shared" si="48"/>
        <v>7884</v>
      </c>
      <c r="P252" s="94">
        <f t="shared" si="49"/>
        <v>11.262857142857143</v>
      </c>
      <c r="Q252" s="94">
        <f t="shared" si="50"/>
        <v>8.8787417554540848</v>
      </c>
      <c r="R252" s="95"/>
    </row>
    <row r="253" spans="1:18" ht="30" customHeight="1" thickBot="1" x14ac:dyDescent="0.35">
      <c r="A253" s="90" t="s">
        <v>270</v>
      </c>
      <c r="E253" s="68"/>
      <c r="F253" s="91">
        <v>35</v>
      </c>
      <c r="G253" s="92">
        <v>2000</v>
      </c>
      <c r="H253" s="93">
        <f t="shared" si="51"/>
        <v>70000</v>
      </c>
      <c r="I253" s="45">
        <v>5000</v>
      </c>
      <c r="J253" s="60">
        <f t="shared" si="52"/>
        <v>2000</v>
      </c>
      <c r="K253" s="61">
        <f t="shared" si="55"/>
        <v>14000</v>
      </c>
      <c r="L253" s="62">
        <f t="shared" si="47"/>
        <v>1361.1111111111111</v>
      </c>
      <c r="M253" s="63"/>
      <c r="N253" s="84">
        <v>80</v>
      </c>
      <c r="O253">
        <f t="shared" si="48"/>
        <v>7884</v>
      </c>
      <c r="P253" s="94">
        <f t="shared" si="49"/>
        <v>11.262857142857143</v>
      </c>
      <c r="Q253" s="94">
        <f t="shared" si="50"/>
        <v>8.8787417554540848</v>
      </c>
      <c r="R253" s="95"/>
    </row>
    <row r="254" spans="1:18" ht="36.6" customHeight="1" thickBot="1" x14ac:dyDescent="0.35">
      <c r="A254" s="90" t="s">
        <v>271</v>
      </c>
      <c r="E254" s="68"/>
      <c r="F254" s="91">
        <v>35</v>
      </c>
      <c r="G254" s="92">
        <v>2000</v>
      </c>
      <c r="H254" s="93">
        <f t="shared" si="51"/>
        <v>70000</v>
      </c>
      <c r="I254" s="45">
        <v>5000</v>
      </c>
      <c r="J254" s="60">
        <f t="shared" si="52"/>
        <v>2000</v>
      </c>
      <c r="K254" s="61">
        <f t="shared" si="55"/>
        <v>14000</v>
      </c>
      <c r="L254" s="62">
        <f t="shared" ref="L254:L289" si="56">(H254-I254-J254-K254)/36</f>
        <v>1361.1111111111111</v>
      </c>
      <c r="M254" s="63"/>
      <c r="N254" s="84">
        <v>80</v>
      </c>
      <c r="O254">
        <f t="shared" ref="O254:O289" si="57">(N254*365*0.45)*0.6</f>
        <v>7884</v>
      </c>
      <c r="P254" s="94">
        <f t="shared" ref="P254:P288" si="58">(O254/H255)*100</f>
        <v>11.262857142857143</v>
      </c>
      <c r="Q254" s="94">
        <f t="shared" ref="Q254:Q288" si="59">H255/O254</f>
        <v>8.8787417554540848</v>
      </c>
      <c r="R254" s="95"/>
    </row>
    <row r="255" spans="1:18" ht="55.2" customHeight="1" thickBot="1" x14ac:dyDescent="0.35">
      <c r="A255" s="90" t="s">
        <v>273</v>
      </c>
      <c r="E255" s="68"/>
      <c r="F255" s="91">
        <v>35</v>
      </c>
      <c r="G255" s="92">
        <v>2000</v>
      </c>
      <c r="H255" s="93">
        <f t="shared" ref="H255:H289" si="60">G255*F255</f>
        <v>70000</v>
      </c>
      <c r="I255" s="45">
        <v>5000</v>
      </c>
      <c r="J255" s="60">
        <f t="shared" ref="J255:J289" si="61">(H255*0.1)-I255</f>
        <v>2000</v>
      </c>
      <c r="K255" s="61">
        <f t="shared" si="55"/>
        <v>14000</v>
      </c>
      <c r="L255" s="62">
        <f t="shared" si="56"/>
        <v>1361.1111111111111</v>
      </c>
      <c r="M255" s="63"/>
      <c r="N255" s="84">
        <v>80</v>
      </c>
      <c r="O255">
        <f t="shared" si="57"/>
        <v>7884</v>
      </c>
      <c r="P255" s="94">
        <f t="shared" si="58"/>
        <v>11.262857142857143</v>
      </c>
      <c r="Q255" s="94">
        <f t="shared" si="59"/>
        <v>8.8787417554540848</v>
      </c>
      <c r="R255" s="95"/>
    </row>
    <row r="256" spans="1:18" ht="47.4" customHeight="1" thickBot="1" x14ac:dyDescent="0.35">
      <c r="A256" s="90" t="s">
        <v>274</v>
      </c>
      <c r="E256" s="68"/>
      <c r="F256" s="91">
        <v>35</v>
      </c>
      <c r="G256" s="92">
        <v>2000</v>
      </c>
      <c r="H256" s="93">
        <f t="shared" si="60"/>
        <v>70000</v>
      </c>
      <c r="I256" s="45">
        <v>5000</v>
      </c>
      <c r="J256" s="60">
        <f t="shared" si="61"/>
        <v>2000</v>
      </c>
      <c r="K256" s="61">
        <f t="shared" si="55"/>
        <v>14000</v>
      </c>
      <c r="L256" s="62">
        <f t="shared" si="56"/>
        <v>1361.1111111111111</v>
      </c>
      <c r="M256" s="63"/>
      <c r="N256" s="84">
        <v>80</v>
      </c>
      <c r="O256">
        <f t="shared" si="57"/>
        <v>7884</v>
      </c>
      <c r="P256" s="94">
        <f t="shared" si="58"/>
        <v>11.262857142857143</v>
      </c>
      <c r="Q256" s="94">
        <f t="shared" si="59"/>
        <v>8.8787417554540848</v>
      </c>
      <c r="R256" s="95"/>
    </row>
    <row r="257" spans="1:18" ht="41.4" customHeight="1" thickBot="1" x14ac:dyDescent="0.35">
      <c r="A257" s="90" t="s">
        <v>275</v>
      </c>
      <c r="E257" s="68"/>
      <c r="F257" s="91">
        <v>35</v>
      </c>
      <c r="G257" s="92">
        <v>2000</v>
      </c>
      <c r="H257" s="93">
        <f t="shared" si="60"/>
        <v>70000</v>
      </c>
      <c r="I257" s="45">
        <v>5000</v>
      </c>
      <c r="J257" s="60">
        <f t="shared" si="61"/>
        <v>2000</v>
      </c>
      <c r="K257" s="61">
        <f t="shared" si="55"/>
        <v>14000</v>
      </c>
      <c r="L257" s="62">
        <f t="shared" si="56"/>
        <v>1361.1111111111111</v>
      </c>
      <c r="M257" s="63"/>
      <c r="N257" s="84">
        <v>80</v>
      </c>
      <c r="O257">
        <f t="shared" si="57"/>
        <v>7884</v>
      </c>
      <c r="P257" s="94">
        <f t="shared" si="58"/>
        <v>11.262857142857143</v>
      </c>
      <c r="Q257" s="94">
        <f t="shared" si="59"/>
        <v>8.8787417554540848</v>
      </c>
      <c r="R257" s="95"/>
    </row>
    <row r="258" spans="1:18" ht="38.4" customHeight="1" thickBot="1" x14ac:dyDescent="0.35">
      <c r="A258" s="90" t="s">
        <v>276</v>
      </c>
      <c r="E258" s="68"/>
      <c r="F258" s="91">
        <v>35</v>
      </c>
      <c r="G258" s="92">
        <v>2000</v>
      </c>
      <c r="H258" s="93">
        <f t="shared" si="60"/>
        <v>70000</v>
      </c>
      <c r="I258" s="45">
        <v>5000</v>
      </c>
      <c r="J258" s="60">
        <f t="shared" si="61"/>
        <v>2000</v>
      </c>
      <c r="K258" s="61">
        <f t="shared" si="55"/>
        <v>14000</v>
      </c>
      <c r="L258" s="62">
        <f t="shared" si="56"/>
        <v>1361.1111111111111</v>
      </c>
      <c r="M258" s="63"/>
      <c r="N258" s="84">
        <v>80</v>
      </c>
      <c r="O258">
        <f t="shared" si="57"/>
        <v>7884</v>
      </c>
      <c r="P258" s="94">
        <f t="shared" si="58"/>
        <v>11.262857142857143</v>
      </c>
      <c r="Q258" s="94">
        <f t="shared" si="59"/>
        <v>8.8787417554540848</v>
      </c>
      <c r="R258" s="95"/>
    </row>
    <row r="259" spans="1:18" ht="37.200000000000003" customHeight="1" thickBot="1" x14ac:dyDescent="0.35">
      <c r="A259" s="90" t="s">
        <v>277</v>
      </c>
      <c r="E259" s="68"/>
      <c r="F259" s="91">
        <v>35</v>
      </c>
      <c r="G259" s="92">
        <v>2000</v>
      </c>
      <c r="H259" s="93">
        <f t="shared" si="60"/>
        <v>70000</v>
      </c>
      <c r="I259" s="45">
        <v>5000</v>
      </c>
      <c r="J259" s="60">
        <f t="shared" si="61"/>
        <v>2000</v>
      </c>
      <c r="K259" s="61">
        <f t="shared" si="55"/>
        <v>14000</v>
      </c>
      <c r="L259" s="62">
        <f t="shared" si="56"/>
        <v>1361.1111111111111</v>
      </c>
      <c r="M259" s="63"/>
      <c r="N259" s="84">
        <v>80</v>
      </c>
      <c r="O259">
        <f t="shared" si="57"/>
        <v>7884</v>
      </c>
      <c r="P259" s="94">
        <f t="shared" si="58"/>
        <v>11.262857142857143</v>
      </c>
      <c r="Q259" s="94">
        <f t="shared" si="59"/>
        <v>8.8787417554540848</v>
      </c>
      <c r="R259" s="95"/>
    </row>
    <row r="260" spans="1:18" ht="34.799999999999997" customHeight="1" thickBot="1" x14ac:dyDescent="0.35">
      <c r="A260" s="90" t="s">
        <v>278</v>
      </c>
      <c r="E260" s="68"/>
      <c r="F260" s="91">
        <v>35</v>
      </c>
      <c r="G260" s="92">
        <v>2000</v>
      </c>
      <c r="H260" s="93">
        <f t="shared" si="60"/>
        <v>70000</v>
      </c>
      <c r="I260" s="45">
        <v>5000</v>
      </c>
      <c r="J260" s="60">
        <f t="shared" si="61"/>
        <v>2000</v>
      </c>
      <c r="K260" s="61">
        <f t="shared" si="55"/>
        <v>14000</v>
      </c>
      <c r="L260" s="62">
        <f t="shared" si="56"/>
        <v>1361.1111111111111</v>
      </c>
      <c r="M260" s="63"/>
      <c r="N260" s="84">
        <v>80</v>
      </c>
      <c r="O260">
        <f t="shared" si="57"/>
        <v>7884</v>
      </c>
      <c r="P260" s="94">
        <f t="shared" si="58"/>
        <v>11.262857142857143</v>
      </c>
      <c r="Q260" s="94">
        <f t="shared" si="59"/>
        <v>8.8787417554540848</v>
      </c>
      <c r="R260" s="95"/>
    </row>
    <row r="261" spans="1:18" ht="35.4" customHeight="1" thickBot="1" x14ac:dyDescent="0.35">
      <c r="A261" s="90" t="s">
        <v>279</v>
      </c>
      <c r="E261" s="68"/>
      <c r="F261" s="91">
        <v>35</v>
      </c>
      <c r="G261" s="92">
        <v>2000</v>
      </c>
      <c r="H261" s="93">
        <f t="shared" si="60"/>
        <v>70000</v>
      </c>
      <c r="I261" s="45">
        <v>5000</v>
      </c>
      <c r="J261" s="60">
        <f t="shared" si="61"/>
        <v>2000</v>
      </c>
      <c r="K261" s="61">
        <f t="shared" si="55"/>
        <v>14000</v>
      </c>
      <c r="L261" s="62">
        <f t="shared" si="56"/>
        <v>1361.1111111111111</v>
      </c>
      <c r="M261" s="63"/>
      <c r="N261" s="84">
        <v>80</v>
      </c>
      <c r="O261">
        <f t="shared" si="57"/>
        <v>7884</v>
      </c>
      <c r="P261" s="94">
        <f t="shared" si="58"/>
        <v>11.262857142857143</v>
      </c>
      <c r="Q261" s="94">
        <f t="shared" si="59"/>
        <v>8.8787417554540848</v>
      </c>
      <c r="R261" s="95"/>
    </row>
    <row r="262" spans="1:18" ht="40.200000000000003" customHeight="1" thickBot="1" x14ac:dyDescent="0.35">
      <c r="A262" s="90" t="s">
        <v>280</v>
      </c>
      <c r="E262" s="68"/>
      <c r="F262" s="91">
        <v>35</v>
      </c>
      <c r="G262" s="92">
        <v>2000</v>
      </c>
      <c r="H262" s="93">
        <f t="shared" si="60"/>
        <v>70000</v>
      </c>
      <c r="I262" s="45">
        <v>5000</v>
      </c>
      <c r="J262" s="60">
        <f t="shared" si="61"/>
        <v>2000</v>
      </c>
      <c r="K262" s="61">
        <f t="shared" ref="K262:K268" si="62">H262*0.2</f>
        <v>14000</v>
      </c>
      <c r="L262" s="62">
        <f t="shared" si="56"/>
        <v>1361.1111111111111</v>
      </c>
      <c r="M262" s="63"/>
      <c r="N262" s="84">
        <v>80</v>
      </c>
      <c r="O262">
        <f t="shared" si="57"/>
        <v>7884</v>
      </c>
      <c r="P262" s="94">
        <f t="shared" si="58"/>
        <v>11.262857142857143</v>
      </c>
      <c r="Q262" s="94">
        <f t="shared" si="59"/>
        <v>8.8787417554540848</v>
      </c>
      <c r="R262" s="95"/>
    </row>
    <row r="263" spans="1:18" ht="41.4" customHeight="1" thickBot="1" x14ac:dyDescent="0.35">
      <c r="A263" s="90" t="s">
        <v>281</v>
      </c>
      <c r="E263" s="68"/>
      <c r="F263" s="91">
        <v>35</v>
      </c>
      <c r="G263" s="92">
        <v>2000</v>
      </c>
      <c r="H263" s="93">
        <f t="shared" si="60"/>
        <v>70000</v>
      </c>
      <c r="I263" s="45">
        <v>5000</v>
      </c>
      <c r="J263" s="60">
        <f t="shared" si="61"/>
        <v>2000</v>
      </c>
      <c r="K263" s="61">
        <f t="shared" si="62"/>
        <v>14000</v>
      </c>
      <c r="L263" s="62">
        <f t="shared" si="56"/>
        <v>1361.1111111111111</v>
      </c>
      <c r="M263" s="63"/>
      <c r="N263">
        <v>120</v>
      </c>
      <c r="O263">
        <f t="shared" si="57"/>
        <v>11826</v>
      </c>
      <c r="P263" s="94">
        <f t="shared" si="58"/>
        <v>11.826000000000001</v>
      </c>
      <c r="Q263" s="94">
        <f t="shared" si="59"/>
        <v>8.4559445290038902</v>
      </c>
      <c r="R263" s="95"/>
    </row>
    <row r="264" spans="1:18" ht="40.200000000000003" customHeight="1" thickBot="1" x14ac:dyDescent="0.35">
      <c r="A264" s="80" t="s">
        <v>282</v>
      </c>
      <c r="B264" s="41"/>
      <c r="C264" s="41"/>
      <c r="D264" s="41"/>
      <c r="E264" s="35"/>
      <c r="F264" s="81">
        <v>50</v>
      </c>
      <c r="G264" s="82">
        <v>2000</v>
      </c>
      <c r="H264" s="83">
        <f t="shared" si="60"/>
        <v>100000</v>
      </c>
      <c r="I264" s="34">
        <v>5000</v>
      </c>
      <c r="J264" s="37">
        <f t="shared" si="61"/>
        <v>5000</v>
      </c>
      <c r="K264" s="38">
        <f t="shared" si="62"/>
        <v>20000</v>
      </c>
      <c r="L264" s="39">
        <f t="shared" si="56"/>
        <v>1944.4444444444443</v>
      </c>
      <c r="M264" s="40">
        <f t="shared" ref="M264:M268" si="63">(H264*0.08)/12</f>
        <v>666.66666666666663</v>
      </c>
      <c r="N264">
        <v>120</v>
      </c>
      <c r="O264" s="41">
        <f t="shared" si="57"/>
        <v>11826</v>
      </c>
      <c r="P264" s="85">
        <f t="shared" si="58"/>
        <v>11.826000000000001</v>
      </c>
      <c r="Q264" s="85">
        <f t="shared" si="59"/>
        <v>8.4559445290038902</v>
      </c>
      <c r="R264" s="86"/>
    </row>
    <row r="265" spans="1:18" ht="58.2" customHeight="1" thickBot="1" x14ac:dyDescent="0.35">
      <c r="A265" s="80" t="s">
        <v>283</v>
      </c>
      <c r="B265" s="41"/>
      <c r="C265" s="41"/>
      <c r="D265" s="41"/>
      <c r="E265" s="35"/>
      <c r="F265" s="81">
        <v>50</v>
      </c>
      <c r="G265" s="82">
        <v>2000</v>
      </c>
      <c r="H265" s="83">
        <f t="shared" si="60"/>
        <v>100000</v>
      </c>
      <c r="I265" s="34">
        <v>5000</v>
      </c>
      <c r="J265" s="37">
        <f t="shared" si="61"/>
        <v>5000</v>
      </c>
      <c r="K265" s="38">
        <f t="shared" si="62"/>
        <v>20000</v>
      </c>
      <c r="L265" s="39">
        <f t="shared" si="56"/>
        <v>1944.4444444444443</v>
      </c>
      <c r="M265" s="40">
        <f t="shared" si="63"/>
        <v>666.66666666666663</v>
      </c>
      <c r="N265">
        <v>120</v>
      </c>
      <c r="O265" s="41">
        <f t="shared" si="57"/>
        <v>11826</v>
      </c>
      <c r="P265" s="85">
        <f t="shared" si="58"/>
        <v>11.826000000000001</v>
      </c>
      <c r="Q265" s="85">
        <f t="shared" si="59"/>
        <v>8.4559445290038902</v>
      </c>
      <c r="R265" s="86"/>
    </row>
    <row r="266" spans="1:18" ht="43.8" customHeight="1" thickBot="1" x14ac:dyDescent="0.35">
      <c r="A266" s="80" t="s">
        <v>284</v>
      </c>
      <c r="B266" s="41"/>
      <c r="C266" s="41"/>
      <c r="D266" s="41"/>
      <c r="E266" s="35"/>
      <c r="F266" s="81">
        <v>50</v>
      </c>
      <c r="G266" s="82">
        <v>2000</v>
      </c>
      <c r="H266" s="83">
        <f t="shared" si="60"/>
        <v>100000</v>
      </c>
      <c r="I266" s="34">
        <v>5000</v>
      </c>
      <c r="J266" s="37">
        <f t="shared" si="61"/>
        <v>5000</v>
      </c>
      <c r="K266" s="38">
        <f t="shared" si="62"/>
        <v>20000</v>
      </c>
      <c r="L266" s="39">
        <f t="shared" si="56"/>
        <v>1944.4444444444443</v>
      </c>
      <c r="M266" s="40">
        <f t="shared" si="63"/>
        <v>666.66666666666663</v>
      </c>
      <c r="N266">
        <v>120</v>
      </c>
      <c r="O266" s="41">
        <f t="shared" si="57"/>
        <v>11826</v>
      </c>
      <c r="P266" s="85">
        <f t="shared" si="58"/>
        <v>11.826000000000001</v>
      </c>
      <c r="Q266" s="85">
        <f t="shared" si="59"/>
        <v>8.4559445290038902</v>
      </c>
      <c r="R266" s="86"/>
    </row>
    <row r="267" spans="1:18" ht="42.6" customHeight="1" thickBot="1" x14ac:dyDescent="0.35">
      <c r="A267" s="80" t="s">
        <v>285</v>
      </c>
      <c r="B267" s="41"/>
      <c r="C267" s="41"/>
      <c r="D267" s="41"/>
      <c r="E267" s="35"/>
      <c r="F267" s="81">
        <v>50</v>
      </c>
      <c r="G267" s="82">
        <v>2000</v>
      </c>
      <c r="H267" s="83">
        <f t="shared" si="60"/>
        <v>100000</v>
      </c>
      <c r="I267" s="34">
        <v>5000</v>
      </c>
      <c r="J267" s="37">
        <f t="shared" si="61"/>
        <v>5000</v>
      </c>
      <c r="K267" s="38">
        <f t="shared" si="62"/>
        <v>20000</v>
      </c>
      <c r="L267" s="39">
        <f t="shared" si="56"/>
        <v>1944.4444444444443</v>
      </c>
      <c r="M267" s="40">
        <f t="shared" si="63"/>
        <v>666.66666666666663</v>
      </c>
      <c r="N267">
        <v>120</v>
      </c>
      <c r="O267" s="41">
        <f t="shared" si="57"/>
        <v>11826</v>
      </c>
      <c r="P267" s="85">
        <f t="shared" si="58"/>
        <v>11.826000000000001</v>
      </c>
      <c r="Q267" s="85">
        <f t="shared" si="59"/>
        <v>8.4559445290038902</v>
      </c>
      <c r="R267" s="86"/>
    </row>
    <row r="268" spans="1:18" ht="42" customHeight="1" thickBot="1" x14ac:dyDescent="0.35">
      <c r="A268" s="80" t="s">
        <v>286</v>
      </c>
      <c r="B268" s="41"/>
      <c r="C268" s="41"/>
      <c r="D268" s="41"/>
      <c r="E268" s="35"/>
      <c r="F268" s="81">
        <v>50</v>
      </c>
      <c r="G268" s="82">
        <v>2000</v>
      </c>
      <c r="H268" s="83">
        <f t="shared" si="60"/>
        <v>100000</v>
      </c>
      <c r="I268" s="34">
        <v>5000</v>
      </c>
      <c r="J268" s="37">
        <f t="shared" si="61"/>
        <v>5000</v>
      </c>
      <c r="K268" s="38">
        <f t="shared" si="62"/>
        <v>20000</v>
      </c>
      <c r="L268" s="39">
        <f t="shared" si="56"/>
        <v>1944.4444444444443</v>
      </c>
      <c r="M268" s="40">
        <f t="shared" si="63"/>
        <v>666.66666666666663</v>
      </c>
      <c r="N268">
        <v>120</v>
      </c>
      <c r="O268" s="41">
        <f t="shared" si="57"/>
        <v>11826</v>
      </c>
      <c r="P268" s="85">
        <f t="shared" si="58"/>
        <v>11.826000000000001</v>
      </c>
      <c r="Q268" s="85">
        <f t="shared" si="59"/>
        <v>8.4559445290038902</v>
      </c>
      <c r="R268" s="86"/>
    </row>
    <row r="269" spans="1:18" ht="39" customHeight="1" thickBot="1" x14ac:dyDescent="0.35">
      <c r="A269" s="90" t="s">
        <v>287</v>
      </c>
      <c r="E269" s="68"/>
      <c r="F269" s="91">
        <v>50</v>
      </c>
      <c r="G269" s="92">
        <v>2000</v>
      </c>
      <c r="H269" s="93">
        <f t="shared" si="60"/>
        <v>100000</v>
      </c>
      <c r="I269" s="45">
        <v>5000</v>
      </c>
      <c r="J269" s="60">
        <f t="shared" si="61"/>
        <v>5000</v>
      </c>
      <c r="K269" s="61">
        <f>H269*0.2</f>
        <v>20000</v>
      </c>
      <c r="L269" s="62">
        <f t="shared" si="56"/>
        <v>1944.4444444444443</v>
      </c>
      <c r="M269" s="63"/>
      <c r="N269">
        <v>120</v>
      </c>
      <c r="O269">
        <f t="shared" si="57"/>
        <v>11826</v>
      </c>
      <c r="P269" s="94">
        <f t="shared" si="58"/>
        <v>11.826000000000001</v>
      </c>
      <c r="Q269" s="94">
        <f t="shared" si="59"/>
        <v>8.4559445290038902</v>
      </c>
      <c r="R269" s="95"/>
    </row>
    <row r="270" spans="1:18" ht="42.6" customHeight="1" thickBot="1" x14ac:dyDescent="0.35">
      <c r="A270" s="90" t="s">
        <v>288</v>
      </c>
      <c r="E270" s="68"/>
      <c r="F270" s="91">
        <v>50</v>
      </c>
      <c r="G270" s="92">
        <v>2000</v>
      </c>
      <c r="H270" s="93">
        <f t="shared" si="60"/>
        <v>100000</v>
      </c>
      <c r="I270" s="45">
        <v>5000</v>
      </c>
      <c r="J270" s="60">
        <f t="shared" si="61"/>
        <v>5000</v>
      </c>
      <c r="K270" s="61">
        <f t="shared" ref="K270:K289" si="64">H270*0.2</f>
        <v>20000</v>
      </c>
      <c r="L270" s="62">
        <f t="shared" si="56"/>
        <v>1944.4444444444443</v>
      </c>
      <c r="M270" s="63"/>
      <c r="N270">
        <v>120</v>
      </c>
      <c r="O270">
        <f t="shared" si="57"/>
        <v>11826</v>
      </c>
      <c r="P270" s="94">
        <f t="shared" si="58"/>
        <v>11.826000000000001</v>
      </c>
      <c r="Q270" s="94">
        <f t="shared" si="59"/>
        <v>8.4559445290038902</v>
      </c>
      <c r="R270" s="95"/>
    </row>
    <row r="271" spans="1:18" ht="40.200000000000003" customHeight="1" thickBot="1" x14ac:dyDescent="0.35">
      <c r="A271" s="90" t="s">
        <v>289</v>
      </c>
      <c r="E271" s="68"/>
      <c r="F271" s="91">
        <v>50</v>
      </c>
      <c r="G271" s="92">
        <v>2000</v>
      </c>
      <c r="H271" s="93">
        <f t="shared" si="60"/>
        <v>100000</v>
      </c>
      <c r="I271" s="45">
        <v>5000</v>
      </c>
      <c r="J271" s="60">
        <f t="shared" si="61"/>
        <v>5000</v>
      </c>
      <c r="K271" s="61">
        <f t="shared" si="64"/>
        <v>20000</v>
      </c>
      <c r="L271" s="62">
        <f t="shared" si="56"/>
        <v>1944.4444444444443</v>
      </c>
      <c r="M271" s="63"/>
      <c r="N271">
        <v>120</v>
      </c>
      <c r="O271">
        <f t="shared" si="57"/>
        <v>11826</v>
      </c>
      <c r="P271" s="94">
        <f t="shared" si="58"/>
        <v>11.826000000000001</v>
      </c>
      <c r="Q271" s="94">
        <f t="shared" si="59"/>
        <v>8.4559445290038902</v>
      </c>
      <c r="R271" s="95"/>
    </row>
    <row r="272" spans="1:18" ht="39.6" customHeight="1" thickBot="1" x14ac:dyDescent="0.35">
      <c r="A272" s="90" t="s">
        <v>290</v>
      </c>
      <c r="E272" s="68"/>
      <c r="F272" s="91">
        <v>50</v>
      </c>
      <c r="G272" s="92">
        <v>2000</v>
      </c>
      <c r="H272" s="93">
        <f t="shared" si="60"/>
        <v>100000</v>
      </c>
      <c r="I272" s="45">
        <v>5000</v>
      </c>
      <c r="J272" s="60">
        <f t="shared" si="61"/>
        <v>5000</v>
      </c>
      <c r="K272" s="61">
        <f t="shared" si="64"/>
        <v>20000</v>
      </c>
      <c r="L272" s="62">
        <f t="shared" si="56"/>
        <v>1944.4444444444443</v>
      </c>
      <c r="M272" s="63"/>
      <c r="N272">
        <v>120</v>
      </c>
      <c r="O272">
        <f t="shared" si="57"/>
        <v>11826</v>
      </c>
      <c r="P272" s="94">
        <f t="shared" si="58"/>
        <v>11.826000000000001</v>
      </c>
      <c r="Q272" s="94">
        <f t="shared" si="59"/>
        <v>8.4559445290038902</v>
      </c>
      <c r="R272" s="95"/>
    </row>
    <row r="273" spans="1:18" ht="41.4" customHeight="1" thickBot="1" x14ac:dyDescent="0.35">
      <c r="A273" s="90" t="s">
        <v>291</v>
      </c>
      <c r="E273" s="68"/>
      <c r="F273" s="91">
        <v>50</v>
      </c>
      <c r="G273" s="92">
        <v>2000</v>
      </c>
      <c r="H273" s="93">
        <f t="shared" si="60"/>
        <v>100000</v>
      </c>
      <c r="I273" s="45">
        <v>5000</v>
      </c>
      <c r="J273" s="60">
        <f t="shared" si="61"/>
        <v>5000</v>
      </c>
      <c r="K273" s="61">
        <f t="shared" si="64"/>
        <v>20000</v>
      </c>
      <c r="L273" s="62">
        <f t="shared" si="56"/>
        <v>1944.4444444444443</v>
      </c>
      <c r="M273" s="63"/>
      <c r="N273">
        <v>120</v>
      </c>
      <c r="O273">
        <f t="shared" si="57"/>
        <v>11826</v>
      </c>
      <c r="P273" s="94">
        <f t="shared" si="58"/>
        <v>11.826000000000001</v>
      </c>
      <c r="Q273" s="94">
        <f t="shared" si="59"/>
        <v>8.4559445290038902</v>
      </c>
      <c r="R273" s="95"/>
    </row>
    <row r="274" spans="1:18" ht="39.6" customHeight="1" thickBot="1" x14ac:dyDescent="0.35">
      <c r="A274" s="90" t="s">
        <v>292</v>
      </c>
      <c r="E274" s="68"/>
      <c r="F274" s="91">
        <v>50</v>
      </c>
      <c r="G274" s="92">
        <v>2000</v>
      </c>
      <c r="H274" s="93">
        <f t="shared" si="60"/>
        <v>100000</v>
      </c>
      <c r="I274" s="45">
        <v>5000</v>
      </c>
      <c r="J274" s="60">
        <f t="shared" si="61"/>
        <v>5000</v>
      </c>
      <c r="K274" s="61">
        <f t="shared" si="64"/>
        <v>20000</v>
      </c>
      <c r="L274" s="62">
        <f t="shared" si="56"/>
        <v>1944.4444444444443</v>
      </c>
      <c r="M274" s="63"/>
      <c r="N274">
        <v>120</v>
      </c>
      <c r="O274">
        <f t="shared" si="57"/>
        <v>11826</v>
      </c>
      <c r="P274" s="94">
        <f t="shared" si="58"/>
        <v>11.826000000000001</v>
      </c>
      <c r="Q274" s="94">
        <f t="shared" si="59"/>
        <v>8.4559445290038902</v>
      </c>
      <c r="R274" s="95"/>
    </row>
    <row r="275" spans="1:18" ht="39.6" customHeight="1" thickBot="1" x14ac:dyDescent="0.35">
      <c r="A275" s="90" t="s">
        <v>293</v>
      </c>
      <c r="E275" s="68"/>
      <c r="F275" s="91">
        <v>50</v>
      </c>
      <c r="G275" s="92">
        <v>2000</v>
      </c>
      <c r="H275" s="93">
        <f t="shared" si="60"/>
        <v>100000</v>
      </c>
      <c r="I275" s="45">
        <v>5000</v>
      </c>
      <c r="J275" s="60">
        <f t="shared" si="61"/>
        <v>5000</v>
      </c>
      <c r="K275" s="61">
        <f t="shared" si="64"/>
        <v>20000</v>
      </c>
      <c r="L275" s="62">
        <f t="shared" si="56"/>
        <v>1944.4444444444443</v>
      </c>
      <c r="M275" s="63"/>
      <c r="N275">
        <v>120</v>
      </c>
      <c r="O275">
        <f t="shared" si="57"/>
        <v>11826</v>
      </c>
      <c r="P275" s="94">
        <f t="shared" si="58"/>
        <v>11.826000000000001</v>
      </c>
      <c r="Q275" s="94">
        <f t="shared" si="59"/>
        <v>8.4559445290038902</v>
      </c>
      <c r="R275" s="95"/>
    </row>
    <row r="276" spans="1:18" ht="41.4" customHeight="1" thickBot="1" x14ac:dyDescent="0.35">
      <c r="A276" s="90" t="s">
        <v>294</v>
      </c>
      <c r="E276" s="68"/>
      <c r="F276" s="91">
        <v>50</v>
      </c>
      <c r="G276" s="92">
        <v>2000</v>
      </c>
      <c r="H276" s="93">
        <f t="shared" si="60"/>
        <v>100000</v>
      </c>
      <c r="I276" s="45">
        <v>5000</v>
      </c>
      <c r="J276" s="60">
        <f t="shared" si="61"/>
        <v>5000</v>
      </c>
      <c r="K276" s="61">
        <f t="shared" si="64"/>
        <v>20000</v>
      </c>
      <c r="L276" s="62">
        <f t="shared" si="56"/>
        <v>1944.4444444444443</v>
      </c>
      <c r="M276" s="63"/>
      <c r="N276">
        <v>120</v>
      </c>
      <c r="O276">
        <f t="shared" si="57"/>
        <v>11826</v>
      </c>
      <c r="P276" s="94">
        <f t="shared" si="58"/>
        <v>11.826000000000001</v>
      </c>
      <c r="Q276" s="94">
        <f t="shared" si="59"/>
        <v>8.4559445290038902</v>
      </c>
      <c r="R276" s="95"/>
    </row>
    <row r="277" spans="1:18" ht="36.6" customHeight="1" thickBot="1" x14ac:dyDescent="0.35">
      <c r="A277" s="90" t="s">
        <v>295</v>
      </c>
      <c r="E277" s="68"/>
      <c r="F277" s="91">
        <v>50</v>
      </c>
      <c r="G277" s="92">
        <v>2000</v>
      </c>
      <c r="H277" s="93">
        <f t="shared" si="60"/>
        <v>100000</v>
      </c>
      <c r="I277" s="45">
        <v>5000</v>
      </c>
      <c r="J277" s="60">
        <f t="shared" si="61"/>
        <v>5000</v>
      </c>
      <c r="K277" s="61">
        <f t="shared" si="64"/>
        <v>20000</v>
      </c>
      <c r="L277" s="62">
        <f t="shared" si="56"/>
        <v>1944.4444444444443</v>
      </c>
      <c r="M277" s="63"/>
      <c r="N277">
        <v>120</v>
      </c>
      <c r="O277">
        <f t="shared" si="57"/>
        <v>11826</v>
      </c>
      <c r="P277" s="94">
        <f t="shared" si="58"/>
        <v>11.826000000000001</v>
      </c>
      <c r="Q277" s="94">
        <f t="shared" si="59"/>
        <v>8.4559445290038902</v>
      </c>
      <c r="R277" s="95"/>
    </row>
    <row r="278" spans="1:18" ht="50.4" customHeight="1" thickBot="1" x14ac:dyDescent="0.35">
      <c r="A278" s="90" t="s">
        <v>296</v>
      </c>
      <c r="E278" s="68"/>
      <c r="F278" s="91">
        <v>50</v>
      </c>
      <c r="G278" s="92">
        <v>2000</v>
      </c>
      <c r="H278" s="93">
        <f t="shared" si="60"/>
        <v>100000</v>
      </c>
      <c r="I278" s="45">
        <v>5000</v>
      </c>
      <c r="J278" s="60">
        <f t="shared" si="61"/>
        <v>5000</v>
      </c>
      <c r="K278" s="61">
        <f t="shared" si="64"/>
        <v>20000</v>
      </c>
      <c r="L278" s="62">
        <f t="shared" si="56"/>
        <v>1944.4444444444443</v>
      </c>
      <c r="M278" s="63"/>
      <c r="N278">
        <v>120</v>
      </c>
      <c r="O278">
        <f t="shared" si="57"/>
        <v>11826</v>
      </c>
      <c r="P278" s="94">
        <f t="shared" si="58"/>
        <v>11.826000000000001</v>
      </c>
      <c r="Q278" s="94">
        <f t="shared" si="59"/>
        <v>8.4559445290038902</v>
      </c>
      <c r="R278" s="95"/>
    </row>
    <row r="279" spans="1:18" ht="51.6" customHeight="1" thickBot="1" x14ac:dyDescent="0.35">
      <c r="A279" s="90" t="s">
        <v>297</v>
      </c>
      <c r="E279" s="68"/>
      <c r="F279" s="91">
        <v>50</v>
      </c>
      <c r="G279" s="92">
        <v>2000</v>
      </c>
      <c r="H279" s="93">
        <f t="shared" si="60"/>
        <v>100000</v>
      </c>
      <c r="I279" s="45">
        <v>5000</v>
      </c>
      <c r="J279" s="60">
        <f t="shared" si="61"/>
        <v>5000</v>
      </c>
      <c r="K279" s="61">
        <f t="shared" si="64"/>
        <v>20000</v>
      </c>
      <c r="L279" s="62">
        <f t="shared" si="56"/>
        <v>1944.4444444444443</v>
      </c>
      <c r="M279" s="63"/>
      <c r="N279">
        <v>120</v>
      </c>
      <c r="O279">
        <f t="shared" si="57"/>
        <v>11826</v>
      </c>
      <c r="P279" s="94">
        <f t="shared" si="58"/>
        <v>11.826000000000001</v>
      </c>
      <c r="Q279" s="94">
        <f t="shared" si="59"/>
        <v>8.4559445290038902</v>
      </c>
      <c r="R279" s="95"/>
    </row>
    <row r="280" spans="1:18" ht="37.799999999999997" customHeight="1" thickBot="1" x14ac:dyDescent="0.35">
      <c r="A280" s="90" t="s">
        <v>298</v>
      </c>
      <c r="E280" s="68"/>
      <c r="F280" s="91">
        <v>50</v>
      </c>
      <c r="G280" s="92">
        <v>2000</v>
      </c>
      <c r="H280" s="93">
        <f t="shared" si="60"/>
        <v>100000</v>
      </c>
      <c r="I280" s="45">
        <v>5000</v>
      </c>
      <c r="J280" s="60">
        <f t="shared" si="61"/>
        <v>5000</v>
      </c>
      <c r="K280" s="61">
        <f t="shared" si="64"/>
        <v>20000</v>
      </c>
      <c r="L280" s="62">
        <f t="shared" si="56"/>
        <v>1944.4444444444443</v>
      </c>
      <c r="M280" s="63"/>
      <c r="N280">
        <v>120</v>
      </c>
      <c r="O280">
        <f t="shared" si="57"/>
        <v>11826</v>
      </c>
      <c r="P280" s="94">
        <f t="shared" si="58"/>
        <v>11.826000000000001</v>
      </c>
      <c r="Q280" s="94">
        <f t="shared" si="59"/>
        <v>8.4559445290038902</v>
      </c>
      <c r="R280" s="95"/>
    </row>
    <row r="281" spans="1:18" ht="39" customHeight="1" thickBot="1" x14ac:dyDescent="0.35">
      <c r="A281" s="90" t="s">
        <v>299</v>
      </c>
      <c r="E281" s="68"/>
      <c r="F281" s="91">
        <v>50</v>
      </c>
      <c r="G281" s="92">
        <v>2000</v>
      </c>
      <c r="H281" s="93">
        <f t="shared" si="60"/>
        <v>100000</v>
      </c>
      <c r="I281" s="45">
        <v>5000</v>
      </c>
      <c r="J281" s="60">
        <f t="shared" si="61"/>
        <v>5000</v>
      </c>
      <c r="K281" s="61">
        <f t="shared" si="64"/>
        <v>20000</v>
      </c>
      <c r="L281" s="62">
        <f t="shared" si="56"/>
        <v>1944.4444444444443</v>
      </c>
      <c r="M281" s="63"/>
      <c r="N281">
        <v>120</v>
      </c>
      <c r="O281">
        <f t="shared" si="57"/>
        <v>11826</v>
      </c>
      <c r="P281" s="94">
        <f t="shared" si="58"/>
        <v>11.826000000000001</v>
      </c>
      <c r="Q281" s="94">
        <f t="shared" si="59"/>
        <v>8.4559445290038902</v>
      </c>
      <c r="R281" s="95"/>
    </row>
    <row r="282" spans="1:18" ht="37.200000000000003" customHeight="1" thickBot="1" x14ac:dyDescent="0.35">
      <c r="A282" s="90" t="s">
        <v>300</v>
      </c>
      <c r="E282" s="68"/>
      <c r="F282" s="91">
        <v>50</v>
      </c>
      <c r="G282" s="92">
        <v>2000</v>
      </c>
      <c r="H282" s="93">
        <f t="shared" si="60"/>
        <v>100000</v>
      </c>
      <c r="I282" s="45">
        <v>5000</v>
      </c>
      <c r="J282" s="60">
        <f t="shared" si="61"/>
        <v>5000</v>
      </c>
      <c r="K282" s="61">
        <f t="shared" si="64"/>
        <v>20000</v>
      </c>
      <c r="L282" s="62">
        <f t="shared" si="56"/>
        <v>1944.4444444444443</v>
      </c>
      <c r="M282" s="63"/>
      <c r="N282">
        <v>120</v>
      </c>
      <c r="O282">
        <f t="shared" si="57"/>
        <v>11826</v>
      </c>
      <c r="P282" s="94">
        <f t="shared" si="58"/>
        <v>11.826000000000001</v>
      </c>
      <c r="Q282" s="94">
        <f t="shared" si="59"/>
        <v>8.4559445290038902</v>
      </c>
      <c r="R282" s="95"/>
    </row>
    <row r="283" spans="1:18" ht="43.8" customHeight="1" thickBot="1" x14ac:dyDescent="0.35">
      <c r="A283" s="90" t="s">
        <v>301</v>
      </c>
      <c r="E283" s="68"/>
      <c r="F283" s="91">
        <v>50</v>
      </c>
      <c r="G283" s="92">
        <v>2000</v>
      </c>
      <c r="H283" s="93">
        <f t="shared" si="60"/>
        <v>100000</v>
      </c>
      <c r="I283" s="45">
        <v>5000</v>
      </c>
      <c r="J283" s="60">
        <f t="shared" si="61"/>
        <v>5000</v>
      </c>
      <c r="K283" s="61">
        <f t="shared" si="64"/>
        <v>20000</v>
      </c>
      <c r="L283" s="62">
        <f t="shared" si="56"/>
        <v>1944.4444444444443</v>
      </c>
      <c r="M283" s="63"/>
      <c r="N283">
        <v>120</v>
      </c>
      <c r="O283">
        <f t="shared" si="57"/>
        <v>11826</v>
      </c>
      <c r="P283" s="94">
        <f t="shared" si="58"/>
        <v>11.826000000000001</v>
      </c>
      <c r="Q283" s="94">
        <f t="shared" si="59"/>
        <v>8.4559445290038902</v>
      </c>
      <c r="R283" s="95"/>
    </row>
    <row r="284" spans="1:18" ht="30.6" customHeight="1" thickBot="1" x14ac:dyDescent="0.35">
      <c r="A284" s="90" t="s">
        <v>302</v>
      </c>
      <c r="E284" s="68"/>
      <c r="F284" s="91">
        <v>50</v>
      </c>
      <c r="G284" s="92">
        <v>2000</v>
      </c>
      <c r="H284" s="93">
        <f t="shared" si="60"/>
        <v>100000</v>
      </c>
      <c r="I284" s="45">
        <v>5000</v>
      </c>
      <c r="J284" s="60">
        <f t="shared" si="61"/>
        <v>5000</v>
      </c>
      <c r="K284" s="61">
        <f t="shared" si="64"/>
        <v>20000</v>
      </c>
      <c r="L284" s="62">
        <f t="shared" si="56"/>
        <v>1944.4444444444443</v>
      </c>
      <c r="M284" s="63"/>
      <c r="N284">
        <v>120</v>
      </c>
      <c r="O284">
        <f t="shared" si="57"/>
        <v>11826</v>
      </c>
      <c r="P284" s="94">
        <f t="shared" si="58"/>
        <v>11.826000000000001</v>
      </c>
      <c r="Q284" s="94">
        <f t="shared" si="59"/>
        <v>8.4559445290038902</v>
      </c>
      <c r="R284" s="95"/>
    </row>
    <row r="285" spans="1:18" ht="15" thickBot="1" x14ac:dyDescent="0.35">
      <c r="A285" s="90" t="s">
        <v>303</v>
      </c>
      <c r="E285" s="68"/>
      <c r="F285" s="91">
        <v>50</v>
      </c>
      <c r="G285" s="92">
        <v>2000</v>
      </c>
      <c r="H285" s="93">
        <f t="shared" si="60"/>
        <v>100000</v>
      </c>
      <c r="I285" s="45">
        <v>5000</v>
      </c>
      <c r="J285" s="60">
        <f t="shared" si="61"/>
        <v>5000</v>
      </c>
      <c r="K285" s="61">
        <f t="shared" si="64"/>
        <v>20000</v>
      </c>
      <c r="L285" s="62">
        <f t="shared" si="56"/>
        <v>1944.4444444444443</v>
      </c>
      <c r="M285" s="63"/>
      <c r="N285">
        <v>120</v>
      </c>
      <c r="O285">
        <f t="shared" si="57"/>
        <v>11826</v>
      </c>
      <c r="P285" s="94">
        <f t="shared" si="58"/>
        <v>11.826000000000001</v>
      </c>
      <c r="Q285" s="94">
        <f t="shared" si="59"/>
        <v>8.4559445290038902</v>
      </c>
      <c r="R285" s="95"/>
    </row>
    <row r="286" spans="1:18" ht="15" thickBot="1" x14ac:dyDescent="0.35">
      <c r="A286" s="90" t="s">
        <v>304</v>
      </c>
      <c r="E286" s="68"/>
      <c r="F286" s="91">
        <v>50</v>
      </c>
      <c r="G286" s="92">
        <v>2000</v>
      </c>
      <c r="H286" s="93">
        <f t="shared" si="60"/>
        <v>100000</v>
      </c>
      <c r="I286" s="45">
        <v>5000</v>
      </c>
      <c r="J286" s="60">
        <f t="shared" si="61"/>
        <v>5000</v>
      </c>
      <c r="K286" s="61">
        <f t="shared" si="64"/>
        <v>20000</v>
      </c>
      <c r="L286" s="62">
        <f t="shared" si="56"/>
        <v>1944.4444444444443</v>
      </c>
      <c r="M286" s="63"/>
      <c r="N286">
        <v>120</v>
      </c>
      <c r="O286">
        <f t="shared" si="57"/>
        <v>11826</v>
      </c>
      <c r="P286" s="94">
        <f t="shared" si="58"/>
        <v>11.826000000000001</v>
      </c>
      <c r="Q286" s="94">
        <f t="shared" si="59"/>
        <v>8.4559445290038902</v>
      </c>
      <c r="R286" s="95"/>
    </row>
    <row r="287" spans="1:18" ht="15" thickBot="1" x14ac:dyDescent="0.35">
      <c r="A287" s="90" t="s">
        <v>305</v>
      </c>
      <c r="E287" s="68"/>
      <c r="F287" s="91">
        <v>50</v>
      </c>
      <c r="G287" s="92">
        <v>2000</v>
      </c>
      <c r="H287" s="93">
        <f t="shared" si="60"/>
        <v>100000</v>
      </c>
      <c r="I287" s="45">
        <v>5000</v>
      </c>
      <c r="J287" s="60">
        <f t="shared" si="61"/>
        <v>5000</v>
      </c>
      <c r="K287" s="61">
        <f t="shared" si="64"/>
        <v>20000</v>
      </c>
      <c r="L287" s="62">
        <f t="shared" si="56"/>
        <v>1944.4444444444443</v>
      </c>
      <c r="M287" s="63"/>
      <c r="N287">
        <v>120</v>
      </c>
      <c r="O287">
        <f t="shared" si="57"/>
        <v>11826</v>
      </c>
      <c r="P287" s="94">
        <f t="shared" si="58"/>
        <v>11.826000000000001</v>
      </c>
      <c r="Q287" s="94">
        <f t="shared" si="59"/>
        <v>8.4559445290038902</v>
      </c>
      <c r="R287" s="95"/>
    </row>
    <row r="288" spans="1:18" ht="15" thickBot="1" x14ac:dyDescent="0.35">
      <c r="A288" s="90" t="s">
        <v>306</v>
      </c>
      <c r="E288" s="68"/>
      <c r="F288" s="91">
        <v>50</v>
      </c>
      <c r="G288" s="92">
        <v>2000</v>
      </c>
      <c r="H288" s="93">
        <f t="shared" si="60"/>
        <v>100000</v>
      </c>
      <c r="I288" s="45">
        <v>5000</v>
      </c>
      <c r="J288" s="60">
        <f t="shared" si="61"/>
        <v>5000</v>
      </c>
      <c r="K288" s="61">
        <f t="shared" si="64"/>
        <v>20000</v>
      </c>
      <c r="L288" s="62">
        <f t="shared" si="56"/>
        <v>1944.4444444444443</v>
      </c>
      <c r="M288" s="63"/>
      <c r="N288">
        <v>120</v>
      </c>
      <c r="O288">
        <f t="shared" si="57"/>
        <v>11826</v>
      </c>
      <c r="P288" s="94">
        <f t="shared" si="58"/>
        <v>11.826000000000001</v>
      </c>
      <c r="Q288" s="94">
        <f t="shared" si="59"/>
        <v>8.4559445290038902</v>
      </c>
      <c r="R288" s="95"/>
    </row>
    <row r="289" spans="1:18" ht="27.6" thickBot="1" x14ac:dyDescent="0.35">
      <c r="A289" s="90" t="s">
        <v>307</v>
      </c>
      <c r="E289" s="68"/>
      <c r="F289" s="91">
        <v>50</v>
      </c>
      <c r="G289" s="92">
        <v>2000</v>
      </c>
      <c r="H289" s="93">
        <f t="shared" si="60"/>
        <v>100000</v>
      </c>
      <c r="I289" s="45">
        <v>5000</v>
      </c>
      <c r="J289" s="60">
        <f t="shared" si="61"/>
        <v>5000</v>
      </c>
      <c r="K289" s="61">
        <f t="shared" si="64"/>
        <v>20000</v>
      </c>
      <c r="L289" s="62">
        <f t="shared" si="56"/>
        <v>1944.4444444444443</v>
      </c>
      <c r="M289" s="63"/>
      <c r="N289">
        <v>120</v>
      </c>
      <c r="O289">
        <f t="shared" si="57"/>
        <v>11826</v>
      </c>
      <c r="P289" s="94">
        <f>(O289/H289)*100</f>
        <v>11.826000000000001</v>
      </c>
      <c r="Q289" s="94">
        <f>H289/O289</f>
        <v>8.4559445290038902</v>
      </c>
      <c r="R289" s="95"/>
    </row>
    <row r="298" spans="1:18" ht="36" customHeight="1" x14ac:dyDescent="0.3"/>
    <row r="299" spans="1:18" ht="30.6" customHeight="1" x14ac:dyDescent="0.3"/>
    <row r="305" ht="46.8" customHeight="1" x14ac:dyDescent="0.3"/>
    <row r="306" ht="43.2" customHeight="1" x14ac:dyDescent="0.3"/>
    <row r="309" ht="37.799999999999997" customHeight="1" x14ac:dyDescent="0.3"/>
    <row r="310" ht="36" customHeight="1" x14ac:dyDescent="0.3"/>
    <row r="311" ht="35.4" customHeight="1" x14ac:dyDescent="0.3"/>
    <row r="312" ht="31.8" customHeight="1" x14ac:dyDescent="0.3"/>
    <row r="313" ht="37.799999999999997" customHeight="1" x14ac:dyDescent="0.3"/>
    <row r="314" ht="39.6" customHeight="1" x14ac:dyDescent="0.3"/>
    <row r="315" ht="39.6" customHeight="1" x14ac:dyDescent="0.3"/>
    <row r="316" ht="40.200000000000003" customHeight="1" x14ac:dyDescent="0.3"/>
    <row r="317" ht="37.799999999999997" customHeight="1" x14ac:dyDescent="0.3"/>
    <row r="318" ht="34.799999999999997" customHeight="1" x14ac:dyDescent="0.3"/>
    <row r="319" ht="42" customHeight="1" x14ac:dyDescent="0.3"/>
    <row r="320" ht="41.4" customHeight="1" x14ac:dyDescent="0.3"/>
    <row r="321" ht="32.4" customHeight="1" x14ac:dyDescent="0.3"/>
    <row r="322" ht="34.200000000000003" customHeight="1" x14ac:dyDescent="0.3"/>
    <row r="323" ht="33.6" customHeight="1" x14ac:dyDescent="0.3"/>
    <row r="324" ht="39.6" customHeight="1" x14ac:dyDescent="0.3"/>
    <row r="325" ht="43.2" customHeight="1" x14ac:dyDescent="0.3"/>
    <row r="326" ht="32.4" customHeight="1" x14ac:dyDescent="0.3"/>
    <row r="327" ht="36" customHeight="1" x14ac:dyDescent="0.3"/>
    <row r="328" ht="34.799999999999997" customHeight="1" x14ac:dyDescent="0.3"/>
    <row r="329" ht="36.6" customHeight="1" x14ac:dyDescent="0.3"/>
    <row r="330" ht="35.4" customHeight="1" x14ac:dyDescent="0.3"/>
    <row r="331" ht="28.2" customHeight="1" x14ac:dyDescent="0.3"/>
    <row r="332" ht="37.200000000000003" customHeight="1" x14ac:dyDescent="0.3"/>
    <row r="333" ht="37.799999999999997" customHeight="1" x14ac:dyDescent="0.3"/>
    <row r="339" ht="49.8" customHeight="1" x14ac:dyDescent="0.3"/>
    <row r="340" ht="48.6" customHeight="1" x14ac:dyDescent="0.3"/>
    <row r="342" ht="36.6" customHeight="1" x14ac:dyDescent="0.3"/>
    <row r="343" ht="40.799999999999997" customHeight="1" x14ac:dyDescent="0.3"/>
    <row r="344" ht="39" customHeight="1" x14ac:dyDescent="0.3"/>
    <row r="345" ht="41.4" customHeight="1" x14ac:dyDescent="0.3"/>
    <row r="348" ht="38.4" customHeight="1" x14ac:dyDescent="0.3"/>
    <row r="349" ht="43.2" customHeight="1" x14ac:dyDescent="0.3"/>
    <row r="350" ht="39" customHeight="1" x14ac:dyDescent="0.3"/>
    <row r="351" ht="40.200000000000003" customHeight="1" x14ac:dyDescent="0.3"/>
    <row r="352" ht="41.4" customHeight="1" x14ac:dyDescent="0.3"/>
    <row r="353" ht="40.799999999999997" customHeight="1" x14ac:dyDescent="0.3"/>
    <row r="354" ht="42" customHeight="1" x14ac:dyDescent="0.3"/>
    <row r="355" ht="42.6" customHeight="1" x14ac:dyDescent="0.3"/>
    <row r="356" ht="40.799999999999997" customHeight="1" x14ac:dyDescent="0.3"/>
    <row r="357" ht="42.6" customHeight="1" x14ac:dyDescent="0.3"/>
    <row r="358" ht="43.2" customHeight="1" x14ac:dyDescent="0.3"/>
    <row r="359" ht="44.4" customHeight="1" x14ac:dyDescent="0.3"/>
    <row r="360" ht="40.799999999999997" customHeight="1" x14ac:dyDescent="0.3"/>
    <row r="361" ht="41.4" customHeight="1" x14ac:dyDescent="0.3"/>
    <row r="362" ht="42" customHeight="1" x14ac:dyDescent="0.3"/>
    <row r="363" ht="40.799999999999997" customHeight="1" x14ac:dyDescent="0.3"/>
    <row r="364" ht="39" customHeight="1" x14ac:dyDescent="0.3"/>
    <row r="365" ht="39" customHeight="1" x14ac:dyDescent="0.3"/>
    <row r="366" ht="41.4" customHeight="1" x14ac:dyDescent="0.3"/>
    <row r="367" ht="42" customHeight="1" x14ac:dyDescent="0.3"/>
    <row r="368" ht="39.6" customHeight="1" x14ac:dyDescent="0.3"/>
  </sheetData>
  <mergeCells count="3">
    <mergeCell ref="A51:E51"/>
    <mergeCell ref="A98:E98"/>
    <mergeCell ref="A149:E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992B-FB21-4CE3-9B54-7818287E60EF}">
  <dimension ref="A2:Q183"/>
  <sheetViews>
    <sheetView tabSelected="1" topLeftCell="A177" workbookViewId="0">
      <selection activeCell="J158" sqref="J158:J182"/>
    </sheetView>
  </sheetViews>
  <sheetFormatPr defaultRowHeight="14.4" x14ac:dyDescent="0.3"/>
  <sheetData>
    <row r="2" spans="1:17" ht="86.4" x14ac:dyDescent="0.3">
      <c r="A2" s="79" t="s">
        <v>200</v>
      </c>
      <c r="B2" s="1" t="s">
        <v>0</v>
      </c>
      <c r="C2" s="1" t="s">
        <v>1</v>
      </c>
      <c r="D2" s="2" t="s">
        <v>2</v>
      </c>
      <c r="E2" s="2" t="s">
        <v>3</v>
      </c>
      <c r="F2" s="3" t="s">
        <v>4</v>
      </c>
      <c r="G2" s="1" t="s">
        <v>5</v>
      </c>
      <c r="H2" s="4" t="s">
        <v>6</v>
      </c>
      <c r="I2" s="5" t="s">
        <v>7</v>
      </c>
      <c r="J2" s="2" t="s">
        <v>8</v>
      </c>
      <c r="K2" s="6" t="s">
        <v>9</v>
      </c>
      <c r="L2" s="7" t="s">
        <v>10</v>
      </c>
      <c r="M2" s="8" t="s">
        <v>11</v>
      </c>
      <c r="N2" s="1" t="s">
        <v>199</v>
      </c>
      <c r="O2" s="1" t="s">
        <v>201</v>
      </c>
      <c r="P2" s="10" t="s">
        <v>15</v>
      </c>
      <c r="Q2" s="10" t="s">
        <v>202</v>
      </c>
    </row>
    <row r="3" spans="1:17" ht="72" x14ac:dyDescent="0.3">
      <c r="A3" s="21"/>
      <c r="B3" s="87" t="s">
        <v>17</v>
      </c>
      <c r="C3" s="87">
        <v>702.4</v>
      </c>
      <c r="D3" s="87">
        <v>120</v>
      </c>
      <c r="E3" s="87">
        <f t="shared" ref="E3:E50" si="0">D3*C3</f>
        <v>84288</v>
      </c>
      <c r="F3" s="88" t="s">
        <v>204</v>
      </c>
      <c r="G3" s="45">
        <v>110</v>
      </c>
      <c r="H3" s="47">
        <v>2000</v>
      </c>
      <c r="I3" s="45">
        <f t="shared" ref="I3:I50" si="1">H3*G3+E3</f>
        <v>304288</v>
      </c>
      <c r="J3" s="45">
        <v>5000</v>
      </c>
      <c r="K3" s="60">
        <f>(I3*0.1)-J3</f>
        <v>25428.800000000003</v>
      </c>
      <c r="L3" s="61">
        <f t="shared" ref="L3:L50" si="2">I3*0.2</f>
        <v>60857.600000000006</v>
      </c>
      <c r="M3" s="62">
        <f t="shared" ref="M3:M50" si="3">(I3-J3-K3-L3)/36</f>
        <v>5916.7111111111117</v>
      </c>
      <c r="N3">
        <v>400</v>
      </c>
      <c r="O3" s="89">
        <f t="shared" ref="O3:O50" si="4">(N3*365*0.45)*0.6</f>
        <v>39420</v>
      </c>
      <c r="P3" s="66">
        <f t="shared" ref="P3:P50" si="5">(O3/I3)*100</f>
        <v>12.954832264170784</v>
      </c>
      <c r="Q3" s="66">
        <f t="shared" ref="Q3:Q50" si="6">I3/O3</f>
        <v>7.7191273465246066</v>
      </c>
    </row>
    <row r="4" spans="1:17" ht="72" x14ac:dyDescent="0.3">
      <c r="A4" s="22"/>
      <c r="B4" s="87" t="s">
        <v>19</v>
      </c>
      <c r="C4" s="87">
        <v>683.2</v>
      </c>
      <c r="D4" s="87">
        <v>120</v>
      </c>
      <c r="E4" s="87">
        <f t="shared" si="0"/>
        <v>81984</v>
      </c>
      <c r="F4" s="88" t="s">
        <v>204</v>
      </c>
      <c r="G4" s="45">
        <v>110</v>
      </c>
      <c r="H4" s="47">
        <v>2000</v>
      </c>
      <c r="I4" s="45">
        <f t="shared" si="1"/>
        <v>301984</v>
      </c>
      <c r="J4" s="45">
        <v>5000</v>
      </c>
      <c r="K4" s="60">
        <f>(I4*0.1)-J4</f>
        <v>25198.400000000001</v>
      </c>
      <c r="L4" s="61">
        <f t="shared" si="2"/>
        <v>60396.800000000003</v>
      </c>
      <c r="M4" s="62">
        <f t="shared" si="3"/>
        <v>5871.9111111111106</v>
      </c>
      <c r="N4">
        <v>400</v>
      </c>
      <c r="O4" s="89">
        <f t="shared" si="4"/>
        <v>39420</v>
      </c>
      <c r="P4" s="66">
        <f t="shared" si="5"/>
        <v>13.0536717177069</v>
      </c>
      <c r="Q4" s="66">
        <f t="shared" si="6"/>
        <v>7.6606798579401323</v>
      </c>
    </row>
    <row r="5" spans="1:17" ht="72" x14ac:dyDescent="0.3">
      <c r="A5" s="22"/>
      <c r="B5" s="87" t="s">
        <v>20</v>
      </c>
      <c r="C5" s="87">
        <v>652.70000000000005</v>
      </c>
      <c r="D5" s="87">
        <v>120</v>
      </c>
      <c r="E5" s="87">
        <f t="shared" si="0"/>
        <v>78324</v>
      </c>
      <c r="F5" s="88" t="s">
        <v>204</v>
      </c>
      <c r="G5" s="45">
        <v>110</v>
      </c>
      <c r="H5" s="47">
        <v>2000</v>
      </c>
      <c r="I5" s="45">
        <f t="shared" si="1"/>
        <v>298324</v>
      </c>
      <c r="J5" s="45">
        <v>5000</v>
      </c>
      <c r="K5" s="60">
        <f>(I5*0.1)-J5</f>
        <v>24832.400000000001</v>
      </c>
      <c r="L5" s="61">
        <f t="shared" si="2"/>
        <v>59664.800000000003</v>
      </c>
      <c r="M5" s="62">
        <f t="shared" si="3"/>
        <v>5800.7444444444445</v>
      </c>
      <c r="N5">
        <v>400</v>
      </c>
      <c r="O5" s="89">
        <f t="shared" si="4"/>
        <v>39420</v>
      </c>
      <c r="P5" s="66">
        <f t="shared" si="5"/>
        <v>13.213821214518443</v>
      </c>
      <c r="Q5" s="66">
        <f t="shared" si="6"/>
        <v>7.5678335870116689</v>
      </c>
    </row>
    <row r="6" spans="1:17" ht="86.4" x14ac:dyDescent="0.3">
      <c r="A6" s="33"/>
      <c r="B6" s="23" t="s">
        <v>21</v>
      </c>
      <c r="C6" s="23">
        <v>558.9</v>
      </c>
      <c r="D6" s="23">
        <v>120</v>
      </c>
      <c r="E6" s="23">
        <f t="shared" si="0"/>
        <v>67068</v>
      </c>
      <c r="F6" s="88" t="s">
        <v>208</v>
      </c>
      <c r="G6" s="45">
        <v>85</v>
      </c>
      <c r="H6" s="47">
        <v>2000</v>
      </c>
      <c r="I6" s="45">
        <f t="shared" si="1"/>
        <v>237068</v>
      </c>
      <c r="J6" s="45">
        <v>5000</v>
      </c>
      <c r="K6" s="60">
        <f>(Sheet1!G193*0.1)-J3</f>
        <v>-4800</v>
      </c>
      <c r="L6" s="61">
        <f t="shared" si="2"/>
        <v>47413.600000000006</v>
      </c>
      <c r="M6" s="62">
        <f t="shared" si="3"/>
        <v>5262.6222222222223</v>
      </c>
      <c r="N6">
        <v>250</v>
      </c>
      <c r="O6" s="89">
        <f t="shared" si="4"/>
        <v>24637.5</v>
      </c>
      <c r="P6" s="66">
        <f t="shared" si="5"/>
        <v>10.392587780721144</v>
      </c>
      <c r="Q6" s="66">
        <f t="shared" si="6"/>
        <v>9.6222425164890915</v>
      </c>
    </row>
    <row r="7" spans="1:17" ht="86.4" x14ac:dyDescent="0.3">
      <c r="A7" s="33"/>
      <c r="B7" s="23" t="s">
        <v>23</v>
      </c>
      <c r="C7" s="23">
        <v>561.5</v>
      </c>
      <c r="D7" s="23">
        <v>120</v>
      </c>
      <c r="E7" s="23">
        <f t="shared" si="0"/>
        <v>67380</v>
      </c>
      <c r="F7" s="88" t="s">
        <v>208</v>
      </c>
      <c r="G7" s="45">
        <v>85</v>
      </c>
      <c r="H7" s="47">
        <v>2000</v>
      </c>
      <c r="I7" s="45">
        <f t="shared" si="1"/>
        <v>237380</v>
      </c>
      <c r="J7" s="45">
        <v>5000</v>
      </c>
      <c r="K7" s="60">
        <f>(Sheet1!G194*0.1)-J4</f>
        <v>-4800</v>
      </c>
      <c r="L7" s="61">
        <f t="shared" si="2"/>
        <v>47476</v>
      </c>
      <c r="M7" s="62">
        <f t="shared" si="3"/>
        <v>5269.5555555555557</v>
      </c>
      <c r="N7">
        <v>250</v>
      </c>
      <c r="O7" s="89">
        <f t="shared" si="4"/>
        <v>24637.5</v>
      </c>
      <c r="P7" s="66">
        <f t="shared" si="5"/>
        <v>10.378928300615048</v>
      </c>
      <c r="Q7" s="66">
        <f t="shared" si="6"/>
        <v>9.6349061390157278</v>
      </c>
    </row>
    <row r="8" spans="1:17" ht="72" x14ac:dyDescent="0.3">
      <c r="A8" s="22"/>
      <c r="B8" s="87" t="s">
        <v>24</v>
      </c>
      <c r="C8" s="87">
        <v>740.3</v>
      </c>
      <c r="D8" s="87">
        <v>120</v>
      </c>
      <c r="E8" s="87">
        <f t="shared" si="0"/>
        <v>88836</v>
      </c>
      <c r="F8" s="88" t="s">
        <v>204</v>
      </c>
      <c r="G8" s="45">
        <v>110</v>
      </c>
      <c r="H8" s="47">
        <v>2000</v>
      </c>
      <c r="I8" s="45">
        <f t="shared" si="1"/>
        <v>308836</v>
      </c>
      <c r="J8" s="45">
        <v>5000</v>
      </c>
      <c r="K8" s="60">
        <f t="shared" ref="K8:K14" si="7">(I8*0.1)-J8</f>
        <v>25883.600000000002</v>
      </c>
      <c r="L8" s="61">
        <f t="shared" si="2"/>
        <v>61767.200000000004</v>
      </c>
      <c r="M8" s="62">
        <f t="shared" si="3"/>
        <v>6005.1444444444451</v>
      </c>
      <c r="N8">
        <v>400</v>
      </c>
      <c r="O8" s="89">
        <f t="shared" si="4"/>
        <v>39420</v>
      </c>
      <c r="P8" s="66">
        <f t="shared" si="5"/>
        <v>12.764056003833749</v>
      </c>
      <c r="Q8" s="66">
        <f t="shared" si="6"/>
        <v>7.8345002536783355</v>
      </c>
    </row>
    <row r="9" spans="1:17" ht="72" x14ac:dyDescent="0.3">
      <c r="A9" s="22"/>
      <c r="B9" s="87" t="s">
        <v>25</v>
      </c>
      <c r="C9" s="87">
        <v>953.6</v>
      </c>
      <c r="D9" s="87">
        <v>120</v>
      </c>
      <c r="E9" s="87">
        <f t="shared" si="0"/>
        <v>114432</v>
      </c>
      <c r="F9" s="88" t="s">
        <v>204</v>
      </c>
      <c r="G9" s="45">
        <v>110</v>
      </c>
      <c r="H9" s="47">
        <v>2000</v>
      </c>
      <c r="I9" s="45">
        <f t="shared" si="1"/>
        <v>334432</v>
      </c>
      <c r="J9" s="45">
        <v>5000</v>
      </c>
      <c r="K9" s="60">
        <f t="shared" si="7"/>
        <v>28443.200000000004</v>
      </c>
      <c r="L9" s="61">
        <f t="shared" si="2"/>
        <v>66886.400000000009</v>
      </c>
      <c r="M9" s="62">
        <f t="shared" si="3"/>
        <v>6502.8444444444431</v>
      </c>
      <c r="N9">
        <v>400</v>
      </c>
      <c r="O9" s="89">
        <f t="shared" si="4"/>
        <v>39420</v>
      </c>
      <c r="P9" s="66">
        <f t="shared" si="5"/>
        <v>11.787149555066501</v>
      </c>
      <c r="Q9" s="66">
        <f t="shared" si="6"/>
        <v>8.4838153221714858</v>
      </c>
    </row>
    <row r="10" spans="1:17" ht="72" x14ac:dyDescent="0.3">
      <c r="A10" s="22"/>
      <c r="B10" s="87" t="s">
        <v>26</v>
      </c>
      <c r="C10" s="87">
        <v>1084.0999999999999</v>
      </c>
      <c r="D10" s="87">
        <v>120</v>
      </c>
      <c r="E10" s="87">
        <f t="shared" si="0"/>
        <v>130091.99999999999</v>
      </c>
      <c r="F10" s="88" t="s">
        <v>204</v>
      </c>
      <c r="G10" s="45">
        <v>110</v>
      </c>
      <c r="H10" s="47">
        <v>2000</v>
      </c>
      <c r="I10" s="45">
        <f t="shared" si="1"/>
        <v>350092</v>
      </c>
      <c r="J10" s="45">
        <v>5000</v>
      </c>
      <c r="K10" s="60">
        <f t="shared" si="7"/>
        <v>30009.200000000004</v>
      </c>
      <c r="L10" s="61">
        <f t="shared" si="2"/>
        <v>70018.400000000009</v>
      </c>
      <c r="M10" s="62">
        <f t="shared" si="3"/>
        <v>6807.3444444444431</v>
      </c>
      <c r="N10">
        <v>400</v>
      </c>
      <c r="O10" s="89">
        <f t="shared" si="4"/>
        <v>39420</v>
      </c>
      <c r="P10" s="66">
        <f t="shared" si="5"/>
        <v>11.259897398398136</v>
      </c>
      <c r="Q10" s="66">
        <f t="shared" si="6"/>
        <v>8.8810755961440897</v>
      </c>
    </row>
    <row r="11" spans="1:17" ht="86.4" x14ac:dyDescent="0.3">
      <c r="A11" s="33"/>
      <c r="B11" s="23" t="s">
        <v>27</v>
      </c>
      <c r="C11" s="23">
        <v>503.7</v>
      </c>
      <c r="D11" s="23">
        <v>120</v>
      </c>
      <c r="E11" s="23">
        <f t="shared" si="0"/>
        <v>60444</v>
      </c>
      <c r="F11" s="88" t="s">
        <v>208</v>
      </c>
      <c r="G11" s="45">
        <v>85</v>
      </c>
      <c r="H11" s="47">
        <v>2000</v>
      </c>
      <c r="I11" s="45">
        <f t="shared" si="1"/>
        <v>230444</v>
      </c>
      <c r="J11" s="45">
        <v>5000</v>
      </c>
      <c r="K11" s="60">
        <f t="shared" si="7"/>
        <v>18044.400000000001</v>
      </c>
      <c r="L11" s="61">
        <f t="shared" si="2"/>
        <v>46088.800000000003</v>
      </c>
      <c r="M11" s="62">
        <f t="shared" si="3"/>
        <v>4480.8555555555549</v>
      </c>
      <c r="N11">
        <v>250</v>
      </c>
      <c r="O11" s="89">
        <f t="shared" si="4"/>
        <v>24637.5</v>
      </c>
      <c r="P11" s="66">
        <f t="shared" si="5"/>
        <v>10.691317630313655</v>
      </c>
      <c r="Q11" s="66">
        <f t="shared" si="6"/>
        <v>9.3533840690005068</v>
      </c>
    </row>
    <row r="12" spans="1:17" ht="57.6" x14ac:dyDescent="0.3">
      <c r="A12" s="33"/>
      <c r="B12" s="23" t="s">
        <v>28</v>
      </c>
      <c r="C12" s="23">
        <v>413.4</v>
      </c>
      <c r="D12" s="23">
        <v>120</v>
      </c>
      <c r="E12" s="23">
        <f t="shared" si="0"/>
        <v>49608</v>
      </c>
      <c r="F12" s="88" t="s">
        <v>215</v>
      </c>
      <c r="G12" s="45">
        <v>55</v>
      </c>
      <c r="H12" s="47">
        <v>2000</v>
      </c>
      <c r="I12" s="45">
        <f t="shared" si="1"/>
        <v>159608</v>
      </c>
      <c r="J12" s="45">
        <v>5000</v>
      </c>
      <c r="K12" s="60">
        <f t="shared" si="7"/>
        <v>10960.800000000001</v>
      </c>
      <c r="L12" s="61">
        <f t="shared" si="2"/>
        <v>31921.600000000002</v>
      </c>
      <c r="M12" s="62">
        <f t="shared" si="3"/>
        <v>3103.4888888888891</v>
      </c>
      <c r="N12">
        <v>200</v>
      </c>
      <c r="O12" s="89">
        <f t="shared" si="4"/>
        <v>19710</v>
      </c>
      <c r="P12" s="66">
        <f t="shared" si="5"/>
        <v>12.349005062402888</v>
      </c>
      <c r="Q12" s="66">
        <f t="shared" si="6"/>
        <v>8.0978183663115164</v>
      </c>
    </row>
    <row r="13" spans="1:17" ht="57.6" x14ac:dyDescent="0.3">
      <c r="A13" s="33"/>
      <c r="B13" s="23" t="s">
        <v>29</v>
      </c>
      <c r="C13" s="23">
        <v>393</v>
      </c>
      <c r="D13" s="23">
        <v>120</v>
      </c>
      <c r="E13" s="23">
        <f t="shared" si="0"/>
        <v>47160</v>
      </c>
      <c r="F13" s="88" t="s">
        <v>215</v>
      </c>
      <c r="G13" s="45">
        <v>55</v>
      </c>
      <c r="H13" s="47">
        <v>2000</v>
      </c>
      <c r="I13" s="45">
        <f t="shared" si="1"/>
        <v>157160</v>
      </c>
      <c r="J13" s="45">
        <v>5000</v>
      </c>
      <c r="K13" s="60">
        <f t="shared" si="7"/>
        <v>10716</v>
      </c>
      <c r="L13" s="61">
        <f t="shared" si="2"/>
        <v>31432</v>
      </c>
      <c r="M13" s="62">
        <f t="shared" si="3"/>
        <v>3055.8888888888887</v>
      </c>
      <c r="N13">
        <v>200</v>
      </c>
      <c r="O13" s="89">
        <f t="shared" si="4"/>
        <v>19710</v>
      </c>
      <c r="P13" s="66">
        <f t="shared" si="5"/>
        <v>12.54135912445915</v>
      </c>
      <c r="Q13" s="66">
        <f t="shared" si="6"/>
        <v>7.9736174530695081</v>
      </c>
    </row>
    <row r="14" spans="1:17" ht="57.6" x14ac:dyDescent="0.3">
      <c r="A14" s="33"/>
      <c r="B14" s="23" t="s">
        <v>30</v>
      </c>
      <c r="C14" s="23">
        <v>404.7</v>
      </c>
      <c r="D14" s="23">
        <v>120</v>
      </c>
      <c r="E14" s="23">
        <f t="shared" si="0"/>
        <v>48564</v>
      </c>
      <c r="F14" s="88" t="s">
        <v>215</v>
      </c>
      <c r="G14" s="45">
        <v>55</v>
      </c>
      <c r="H14" s="47">
        <v>2000</v>
      </c>
      <c r="I14" s="45">
        <f t="shared" si="1"/>
        <v>158564</v>
      </c>
      <c r="J14" s="45">
        <v>5000</v>
      </c>
      <c r="K14" s="60">
        <f t="shared" si="7"/>
        <v>10856.400000000001</v>
      </c>
      <c r="L14" s="61">
        <f t="shared" si="2"/>
        <v>31712.800000000003</v>
      </c>
      <c r="M14" s="62">
        <f t="shared" si="3"/>
        <v>3083.1888888888889</v>
      </c>
      <c r="N14">
        <v>200</v>
      </c>
      <c r="O14" s="89">
        <f t="shared" si="4"/>
        <v>19710</v>
      </c>
      <c r="P14" s="66">
        <f t="shared" si="5"/>
        <v>12.430312050654626</v>
      </c>
      <c r="Q14" s="66">
        <f t="shared" si="6"/>
        <v>8.0448503297818359</v>
      </c>
    </row>
    <row r="15" spans="1:17" ht="86.4" x14ac:dyDescent="0.3">
      <c r="A15" s="33"/>
      <c r="B15" s="23" t="s">
        <v>31</v>
      </c>
      <c r="C15" s="23">
        <v>485.3</v>
      </c>
      <c r="D15" s="23">
        <v>120</v>
      </c>
      <c r="E15" s="23">
        <f t="shared" si="0"/>
        <v>58236</v>
      </c>
      <c r="F15" s="88" t="s">
        <v>208</v>
      </c>
      <c r="G15" s="45">
        <v>85</v>
      </c>
      <c r="H15" s="47">
        <v>2000</v>
      </c>
      <c r="I15" s="45">
        <f t="shared" si="1"/>
        <v>228236</v>
      </c>
      <c r="J15" s="45">
        <v>5000</v>
      </c>
      <c r="K15" s="60">
        <f>(Sheet1!G202*0.1)-J12</f>
        <v>-4800</v>
      </c>
      <c r="L15" s="61">
        <f t="shared" si="2"/>
        <v>45647.200000000004</v>
      </c>
      <c r="M15" s="62">
        <f t="shared" si="3"/>
        <v>5066.3555555555549</v>
      </c>
      <c r="N15">
        <v>250</v>
      </c>
      <c r="O15" s="89">
        <f t="shared" si="4"/>
        <v>24637.5</v>
      </c>
      <c r="P15" s="66">
        <f t="shared" si="5"/>
        <v>10.794747542017911</v>
      </c>
      <c r="Q15" s="66">
        <f t="shared" si="6"/>
        <v>9.2637645865043119</v>
      </c>
    </row>
    <row r="16" spans="1:17" ht="86.4" x14ac:dyDescent="0.3">
      <c r="A16" s="33"/>
      <c r="B16" s="23" t="s">
        <v>32</v>
      </c>
      <c r="C16" s="23">
        <v>479.7</v>
      </c>
      <c r="D16" s="23">
        <v>120</v>
      </c>
      <c r="E16" s="23">
        <f t="shared" si="0"/>
        <v>57564</v>
      </c>
      <c r="F16" s="88" t="s">
        <v>208</v>
      </c>
      <c r="G16" s="45">
        <v>85</v>
      </c>
      <c r="H16" s="47">
        <v>2000</v>
      </c>
      <c r="I16" s="45">
        <f t="shared" si="1"/>
        <v>227564</v>
      </c>
      <c r="J16" s="45">
        <v>5000</v>
      </c>
      <c r="K16" s="60">
        <f>(Sheet1!G203*0.1)-J13</f>
        <v>-4800</v>
      </c>
      <c r="L16" s="61">
        <f t="shared" si="2"/>
        <v>45512.800000000003</v>
      </c>
      <c r="M16" s="62">
        <f t="shared" si="3"/>
        <v>5051.4222222222224</v>
      </c>
      <c r="N16">
        <v>250</v>
      </c>
      <c r="O16" s="89">
        <f t="shared" si="4"/>
        <v>24637.5</v>
      </c>
      <c r="P16" s="66">
        <f t="shared" si="5"/>
        <v>10.826624597915311</v>
      </c>
      <c r="Q16" s="66">
        <f t="shared" si="6"/>
        <v>9.2364890918315581</v>
      </c>
    </row>
    <row r="17" spans="1:17" ht="72" x14ac:dyDescent="0.3">
      <c r="A17" s="22"/>
      <c r="B17" s="87" t="s">
        <v>33</v>
      </c>
      <c r="C17" s="87">
        <v>652.9</v>
      </c>
      <c r="D17" s="87">
        <v>120</v>
      </c>
      <c r="E17" s="87">
        <f t="shared" si="0"/>
        <v>78348</v>
      </c>
      <c r="F17" s="88" t="s">
        <v>204</v>
      </c>
      <c r="G17" s="45">
        <v>110</v>
      </c>
      <c r="H17" s="47">
        <v>2000</v>
      </c>
      <c r="I17" s="45">
        <f t="shared" si="1"/>
        <v>298348</v>
      </c>
      <c r="J17" s="45">
        <v>5000</v>
      </c>
      <c r="K17" s="60">
        <f>(I17*0.1)-J17</f>
        <v>24834.800000000003</v>
      </c>
      <c r="L17" s="61">
        <f t="shared" si="2"/>
        <v>59669.600000000006</v>
      </c>
      <c r="M17" s="62">
        <f t="shared" si="3"/>
        <v>5801.2111111111117</v>
      </c>
      <c r="N17">
        <v>400</v>
      </c>
      <c r="O17" s="89">
        <f t="shared" si="4"/>
        <v>39420</v>
      </c>
      <c r="P17" s="66">
        <f t="shared" si="5"/>
        <v>13.212758255460066</v>
      </c>
      <c r="Q17" s="66">
        <f t="shared" si="6"/>
        <v>7.5684424150177572</v>
      </c>
    </row>
    <row r="18" spans="1:17" ht="86.4" x14ac:dyDescent="0.3">
      <c r="A18" s="33"/>
      <c r="B18" s="23" t="s">
        <v>34</v>
      </c>
      <c r="C18" s="23">
        <v>513.9</v>
      </c>
      <c r="D18" s="23">
        <v>120</v>
      </c>
      <c r="E18" s="23">
        <f t="shared" si="0"/>
        <v>61668</v>
      </c>
      <c r="F18" s="88" t="s">
        <v>208</v>
      </c>
      <c r="G18" s="45">
        <v>85</v>
      </c>
      <c r="H18" s="47">
        <v>2000</v>
      </c>
      <c r="I18" s="45">
        <f t="shared" si="1"/>
        <v>231668</v>
      </c>
      <c r="J18" s="45">
        <v>5000</v>
      </c>
      <c r="K18" s="60">
        <f>(Sheet1!G205*0.1)-J15</f>
        <v>-4800</v>
      </c>
      <c r="L18" s="61">
        <f t="shared" si="2"/>
        <v>46333.600000000006</v>
      </c>
      <c r="M18" s="62">
        <f t="shared" si="3"/>
        <v>5142.6222222222223</v>
      </c>
      <c r="N18">
        <v>250</v>
      </c>
      <c r="O18" s="89">
        <f t="shared" si="4"/>
        <v>24637.5</v>
      </c>
      <c r="P18" s="66">
        <f t="shared" si="5"/>
        <v>10.634830878671202</v>
      </c>
      <c r="Q18" s="66">
        <f t="shared" si="6"/>
        <v>9.4030644342973115</v>
      </c>
    </row>
    <row r="19" spans="1:17" ht="86.4" x14ac:dyDescent="0.3">
      <c r="A19" s="33"/>
      <c r="B19" s="23" t="s">
        <v>35</v>
      </c>
      <c r="C19" s="23">
        <v>451.8</v>
      </c>
      <c r="D19" s="23">
        <v>120</v>
      </c>
      <c r="E19" s="23">
        <f t="shared" si="0"/>
        <v>54216</v>
      </c>
      <c r="F19" s="88" t="s">
        <v>208</v>
      </c>
      <c r="G19" s="45">
        <v>85</v>
      </c>
      <c r="H19" s="47">
        <v>2000</v>
      </c>
      <c r="I19" s="45">
        <f t="shared" si="1"/>
        <v>224216</v>
      </c>
      <c r="J19" s="45">
        <v>5000</v>
      </c>
      <c r="K19" s="60">
        <f>(Sheet1!G206*0.1)-J16</f>
        <v>-4800</v>
      </c>
      <c r="L19" s="61">
        <f t="shared" si="2"/>
        <v>44843.200000000004</v>
      </c>
      <c r="M19" s="62">
        <f t="shared" si="3"/>
        <v>4977.0222222222219</v>
      </c>
      <c r="N19">
        <v>250</v>
      </c>
      <c r="O19" s="89">
        <f t="shared" si="4"/>
        <v>24637.5</v>
      </c>
      <c r="P19" s="66">
        <f t="shared" si="5"/>
        <v>10.988288079352053</v>
      </c>
      <c r="Q19" s="66">
        <f t="shared" si="6"/>
        <v>9.100598680872654</v>
      </c>
    </row>
    <row r="20" spans="1:17" ht="86.4" x14ac:dyDescent="0.3">
      <c r="A20" s="33"/>
      <c r="B20" s="23" t="s">
        <v>36</v>
      </c>
      <c r="C20" s="23">
        <v>509</v>
      </c>
      <c r="D20" s="23">
        <v>120</v>
      </c>
      <c r="E20" s="23">
        <f t="shared" si="0"/>
        <v>61080</v>
      </c>
      <c r="F20" s="88" t="s">
        <v>208</v>
      </c>
      <c r="G20" s="45">
        <v>85</v>
      </c>
      <c r="H20" s="47">
        <v>2000</v>
      </c>
      <c r="I20" s="45">
        <f t="shared" si="1"/>
        <v>231080</v>
      </c>
      <c r="J20" s="45">
        <v>5000</v>
      </c>
      <c r="K20" s="60">
        <f>(Sheet1!G207*0.1)-J17</f>
        <v>-4800</v>
      </c>
      <c r="L20" s="61">
        <f t="shared" si="2"/>
        <v>46216</v>
      </c>
      <c r="M20" s="62">
        <f t="shared" si="3"/>
        <v>5129.5555555555557</v>
      </c>
      <c r="N20">
        <v>250</v>
      </c>
      <c r="O20" s="89">
        <f t="shared" si="4"/>
        <v>24637.5</v>
      </c>
      <c r="P20" s="66">
        <f t="shared" si="5"/>
        <v>10.661891985459581</v>
      </c>
      <c r="Q20" s="66">
        <f t="shared" si="6"/>
        <v>9.3791983764586497</v>
      </c>
    </row>
    <row r="21" spans="1:17" ht="86.4" x14ac:dyDescent="0.3">
      <c r="A21" s="33"/>
      <c r="B21" s="23" t="s">
        <v>37</v>
      </c>
      <c r="C21" s="23">
        <v>464.4</v>
      </c>
      <c r="D21" s="23">
        <v>120</v>
      </c>
      <c r="E21" s="23">
        <f t="shared" si="0"/>
        <v>55728</v>
      </c>
      <c r="F21" s="88" t="s">
        <v>208</v>
      </c>
      <c r="G21" s="45">
        <v>85</v>
      </c>
      <c r="H21" s="47">
        <v>2000</v>
      </c>
      <c r="I21" s="45">
        <f t="shared" si="1"/>
        <v>225728</v>
      </c>
      <c r="J21" s="45">
        <v>5000</v>
      </c>
      <c r="K21" s="60">
        <f>(Sheet1!G208*0.1)-J18</f>
        <v>-4800</v>
      </c>
      <c r="L21" s="61">
        <f t="shared" si="2"/>
        <v>45145.600000000006</v>
      </c>
      <c r="M21" s="62">
        <f t="shared" si="3"/>
        <v>5010.6222222222223</v>
      </c>
      <c r="N21">
        <v>250</v>
      </c>
      <c r="O21" s="89">
        <f t="shared" si="4"/>
        <v>24637.5</v>
      </c>
      <c r="P21" s="66">
        <f t="shared" si="5"/>
        <v>10.914684930535866</v>
      </c>
      <c r="Q21" s="66">
        <f t="shared" si="6"/>
        <v>9.1619685438863527</v>
      </c>
    </row>
    <row r="22" spans="1:17" ht="57.6" x14ac:dyDescent="0.3">
      <c r="A22" s="33"/>
      <c r="B22" s="23" t="s">
        <v>38</v>
      </c>
      <c r="C22" s="23">
        <v>425.4</v>
      </c>
      <c r="D22" s="23">
        <v>120</v>
      </c>
      <c r="E22" s="23">
        <f t="shared" si="0"/>
        <v>51048</v>
      </c>
      <c r="F22" s="88" t="s">
        <v>215</v>
      </c>
      <c r="G22" s="45">
        <v>55</v>
      </c>
      <c r="H22" s="47">
        <v>2000</v>
      </c>
      <c r="I22" s="45">
        <f t="shared" si="1"/>
        <v>161048</v>
      </c>
      <c r="J22" s="45">
        <v>5000</v>
      </c>
      <c r="K22" s="60">
        <f>(I22*0.1)-J22</f>
        <v>11104.800000000001</v>
      </c>
      <c r="L22" s="61">
        <f t="shared" si="2"/>
        <v>32209.600000000002</v>
      </c>
      <c r="M22" s="62">
        <f t="shared" si="3"/>
        <v>3131.4888888888891</v>
      </c>
      <c r="N22">
        <v>200</v>
      </c>
      <c r="O22" s="89">
        <f t="shared" si="4"/>
        <v>19710</v>
      </c>
      <c r="P22" s="66">
        <f t="shared" si="5"/>
        <v>12.238587253489642</v>
      </c>
      <c r="Q22" s="66">
        <f t="shared" si="6"/>
        <v>8.1708777270421109</v>
      </c>
    </row>
    <row r="23" spans="1:17" ht="72" x14ac:dyDescent="0.3">
      <c r="A23" s="33"/>
      <c r="B23" s="23" t="s">
        <v>39</v>
      </c>
      <c r="C23" s="23">
        <v>309</v>
      </c>
      <c r="D23" s="23">
        <v>120</v>
      </c>
      <c r="E23" s="23">
        <f t="shared" si="0"/>
        <v>37080</v>
      </c>
      <c r="F23" s="88" t="s">
        <v>227</v>
      </c>
      <c r="G23" s="45">
        <v>55</v>
      </c>
      <c r="H23" s="47">
        <v>2000</v>
      </c>
      <c r="I23" s="45">
        <f t="shared" si="1"/>
        <v>147080</v>
      </c>
      <c r="J23" s="45">
        <v>5000</v>
      </c>
      <c r="K23" s="60">
        <f>(Sheet1!G210*0.1)-J20</f>
        <v>-4800</v>
      </c>
      <c r="L23" s="61">
        <f t="shared" si="2"/>
        <v>29416</v>
      </c>
      <c r="M23" s="62">
        <f t="shared" si="3"/>
        <v>3262.8888888888887</v>
      </c>
      <c r="N23">
        <v>250</v>
      </c>
      <c r="O23" s="89">
        <f t="shared" si="4"/>
        <v>24637.5</v>
      </c>
      <c r="P23" s="66">
        <f t="shared" si="5"/>
        <v>16.751087843350557</v>
      </c>
      <c r="Q23" s="66">
        <f t="shared" si="6"/>
        <v>5.9697615423642825</v>
      </c>
    </row>
    <row r="24" spans="1:17" ht="86.4" x14ac:dyDescent="0.3">
      <c r="A24" s="33"/>
      <c r="B24" s="23" t="s">
        <v>41</v>
      </c>
      <c r="C24" s="23">
        <v>470.5</v>
      </c>
      <c r="D24" s="23">
        <v>120</v>
      </c>
      <c r="E24" s="23">
        <f t="shared" si="0"/>
        <v>56460</v>
      </c>
      <c r="F24" s="88" t="s">
        <v>208</v>
      </c>
      <c r="G24" s="45">
        <v>85</v>
      </c>
      <c r="H24" s="47">
        <v>2000</v>
      </c>
      <c r="I24" s="45">
        <f t="shared" si="1"/>
        <v>226460</v>
      </c>
      <c r="J24" s="45">
        <v>5000</v>
      </c>
      <c r="K24" s="60">
        <f>(Sheet1!G211*0.1)-J21</f>
        <v>-4800</v>
      </c>
      <c r="L24" s="61">
        <f t="shared" si="2"/>
        <v>45292</v>
      </c>
      <c r="M24" s="62">
        <f t="shared" si="3"/>
        <v>5026.8888888888887</v>
      </c>
      <c r="N24">
        <v>250</v>
      </c>
      <c r="O24" s="89">
        <f t="shared" si="4"/>
        <v>24637.5</v>
      </c>
      <c r="P24" s="66">
        <f t="shared" si="5"/>
        <v>10.879404751390974</v>
      </c>
      <c r="Q24" s="66">
        <f t="shared" si="6"/>
        <v>9.1916793505834598</v>
      </c>
    </row>
    <row r="25" spans="1:17" ht="72" x14ac:dyDescent="0.3">
      <c r="A25" s="22"/>
      <c r="B25" s="87" t="s">
        <v>42</v>
      </c>
      <c r="C25" s="87">
        <v>628.6</v>
      </c>
      <c r="D25" s="87">
        <v>120</v>
      </c>
      <c r="E25" s="87">
        <f t="shared" si="0"/>
        <v>75432</v>
      </c>
      <c r="F25" s="88" t="s">
        <v>204</v>
      </c>
      <c r="G25" s="45">
        <v>110</v>
      </c>
      <c r="H25" s="47">
        <v>2000</v>
      </c>
      <c r="I25" s="45">
        <f t="shared" si="1"/>
        <v>295432</v>
      </c>
      <c r="J25" s="45">
        <v>5000</v>
      </c>
      <c r="K25" s="60">
        <f>(Sheet1!G212*0.1)-J22</f>
        <v>-4800</v>
      </c>
      <c r="L25" s="61">
        <f t="shared" si="2"/>
        <v>59086.400000000001</v>
      </c>
      <c r="M25" s="62">
        <f t="shared" si="3"/>
        <v>6559.6</v>
      </c>
      <c r="N25">
        <v>400</v>
      </c>
      <c r="O25" s="89">
        <f t="shared" si="4"/>
        <v>39420</v>
      </c>
      <c r="P25" s="66">
        <f t="shared" si="5"/>
        <v>13.343172032819735</v>
      </c>
      <c r="Q25" s="66">
        <f t="shared" si="6"/>
        <v>7.4944698122780311</v>
      </c>
    </row>
    <row r="26" spans="1:17" ht="72" x14ac:dyDescent="0.3">
      <c r="A26" s="22"/>
      <c r="B26" s="87" t="s">
        <v>43</v>
      </c>
      <c r="C26" s="87">
        <v>652.1</v>
      </c>
      <c r="D26" s="87">
        <v>120</v>
      </c>
      <c r="E26" s="87">
        <f t="shared" si="0"/>
        <v>78252</v>
      </c>
      <c r="F26" s="88" t="s">
        <v>204</v>
      </c>
      <c r="G26" s="45">
        <v>110</v>
      </c>
      <c r="H26" s="47">
        <v>2000</v>
      </c>
      <c r="I26" s="45">
        <f t="shared" si="1"/>
        <v>298252</v>
      </c>
      <c r="J26" s="45">
        <v>5000</v>
      </c>
      <c r="K26" s="60">
        <f>(I26*0.1)-J26</f>
        <v>24825.200000000001</v>
      </c>
      <c r="L26" s="61">
        <f t="shared" si="2"/>
        <v>59650.400000000001</v>
      </c>
      <c r="M26" s="62">
        <f t="shared" si="3"/>
        <v>5799.344444444444</v>
      </c>
      <c r="N26">
        <v>400</v>
      </c>
      <c r="O26" s="89">
        <f t="shared" si="4"/>
        <v>39420</v>
      </c>
      <c r="P26" s="66">
        <f t="shared" si="5"/>
        <v>13.217011118114883</v>
      </c>
      <c r="Q26" s="66">
        <f t="shared" si="6"/>
        <v>7.566007102993404</v>
      </c>
    </row>
    <row r="27" spans="1:17" ht="86.4" x14ac:dyDescent="0.3">
      <c r="A27" s="33"/>
      <c r="B27" s="23" t="s">
        <v>44</v>
      </c>
      <c r="C27" s="23">
        <v>584.20000000000005</v>
      </c>
      <c r="D27" s="23">
        <v>120</v>
      </c>
      <c r="E27" s="23">
        <f t="shared" si="0"/>
        <v>70104</v>
      </c>
      <c r="F27" s="88" t="s">
        <v>208</v>
      </c>
      <c r="G27" s="45">
        <v>85</v>
      </c>
      <c r="H27" s="47">
        <v>2000</v>
      </c>
      <c r="I27" s="45">
        <f t="shared" si="1"/>
        <v>240104</v>
      </c>
      <c r="J27" s="45">
        <v>5000</v>
      </c>
      <c r="K27" s="60">
        <f>(Sheet1!G214*0.1)-J24</f>
        <v>-4800</v>
      </c>
      <c r="L27" s="61">
        <f t="shared" si="2"/>
        <v>48020.800000000003</v>
      </c>
      <c r="M27" s="62">
        <f t="shared" si="3"/>
        <v>5330.0888888888894</v>
      </c>
      <c r="N27">
        <v>250</v>
      </c>
      <c r="O27" s="89">
        <f t="shared" si="4"/>
        <v>24637.5</v>
      </c>
      <c r="P27" s="66">
        <f t="shared" si="5"/>
        <v>10.261178489321294</v>
      </c>
      <c r="Q27" s="66">
        <f t="shared" si="6"/>
        <v>9.7454693049213592</v>
      </c>
    </row>
    <row r="28" spans="1:17" ht="57.6" x14ac:dyDescent="0.3">
      <c r="A28" s="33"/>
      <c r="B28" s="23" t="s">
        <v>45</v>
      </c>
      <c r="C28" s="23">
        <v>443.3</v>
      </c>
      <c r="D28" s="23">
        <v>120</v>
      </c>
      <c r="E28" s="23">
        <f t="shared" si="0"/>
        <v>53196</v>
      </c>
      <c r="F28" s="88" t="s">
        <v>215</v>
      </c>
      <c r="G28" s="45">
        <v>55</v>
      </c>
      <c r="H28" s="47">
        <v>2000</v>
      </c>
      <c r="I28" s="45">
        <f t="shared" si="1"/>
        <v>163196</v>
      </c>
      <c r="J28" s="45">
        <v>5000</v>
      </c>
      <c r="K28" s="60">
        <f>(I28*0.1)-J28</f>
        <v>11319.6</v>
      </c>
      <c r="L28" s="61">
        <f t="shared" si="2"/>
        <v>32639.200000000001</v>
      </c>
      <c r="M28" s="62">
        <f t="shared" si="3"/>
        <v>3173.2555555555555</v>
      </c>
      <c r="N28">
        <v>200</v>
      </c>
      <c r="O28" s="89">
        <f t="shared" si="4"/>
        <v>19710</v>
      </c>
      <c r="P28" s="66">
        <f t="shared" si="5"/>
        <v>12.077501899556362</v>
      </c>
      <c r="Q28" s="66">
        <f t="shared" si="6"/>
        <v>8.2798579401319135</v>
      </c>
    </row>
    <row r="29" spans="1:17" ht="72" x14ac:dyDescent="0.3">
      <c r="A29" s="33"/>
      <c r="B29" s="23" t="s">
        <v>46</v>
      </c>
      <c r="C29" s="23">
        <v>348.6</v>
      </c>
      <c r="D29" s="23">
        <v>120</v>
      </c>
      <c r="E29" s="23">
        <f t="shared" si="0"/>
        <v>41832</v>
      </c>
      <c r="F29" s="88" t="s">
        <v>227</v>
      </c>
      <c r="G29" s="45">
        <v>55</v>
      </c>
      <c r="H29" s="47">
        <v>2000</v>
      </c>
      <c r="I29" s="45">
        <f t="shared" si="1"/>
        <v>151832</v>
      </c>
      <c r="J29" s="45">
        <v>5000</v>
      </c>
      <c r="K29" s="60">
        <f>(Sheet1!G216*0.1)-J26</f>
        <v>-4800</v>
      </c>
      <c r="L29" s="61">
        <f t="shared" si="2"/>
        <v>30366.400000000001</v>
      </c>
      <c r="M29" s="62">
        <f t="shared" si="3"/>
        <v>3368.4888888888891</v>
      </c>
      <c r="N29">
        <v>200</v>
      </c>
      <c r="O29" s="89">
        <f t="shared" si="4"/>
        <v>19710</v>
      </c>
      <c r="P29" s="66">
        <f t="shared" si="5"/>
        <v>12.981453185099321</v>
      </c>
      <c r="Q29" s="66">
        <f t="shared" si="6"/>
        <v>7.7032978183663117</v>
      </c>
    </row>
    <row r="30" spans="1:17" ht="72" x14ac:dyDescent="0.3">
      <c r="A30" s="33"/>
      <c r="B30" s="23" t="s">
        <v>47</v>
      </c>
      <c r="C30" s="23">
        <v>298</v>
      </c>
      <c r="D30" s="23">
        <v>120</v>
      </c>
      <c r="E30" s="23">
        <f t="shared" si="0"/>
        <v>35760</v>
      </c>
      <c r="F30" s="88" t="s">
        <v>227</v>
      </c>
      <c r="G30" s="45">
        <v>55</v>
      </c>
      <c r="H30" s="47">
        <v>2000</v>
      </c>
      <c r="I30" s="45">
        <f t="shared" si="1"/>
        <v>145760</v>
      </c>
      <c r="J30" s="45">
        <v>5000</v>
      </c>
      <c r="K30" s="60">
        <f>(Sheet1!G217*0.1)-J27</f>
        <v>-4800</v>
      </c>
      <c r="L30" s="61">
        <f t="shared" si="2"/>
        <v>29152</v>
      </c>
      <c r="M30" s="62">
        <f t="shared" si="3"/>
        <v>3233.5555555555557</v>
      </c>
      <c r="N30">
        <v>200</v>
      </c>
      <c r="O30" s="89">
        <f t="shared" si="4"/>
        <v>19710</v>
      </c>
      <c r="P30" s="66">
        <f t="shared" si="5"/>
        <v>13.522228320526894</v>
      </c>
      <c r="Q30" s="66">
        <f t="shared" si="6"/>
        <v>7.3952308472856414</v>
      </c>
    </row>
    <row r="31" spans="1:17" ht="57.6" x14ac:dyDescent="0.3">
      <c r="A31" s="33"/>
      <c r="B31" s="23" t="s">
        <v>48</v>
      </c>
      <c r="C31" s="23">
        <v>366</v>
      </c>
      <c r="D31" s="23">
        <v>120</v>
      </c>
      <c r="E31" s="23">
        <f t="shared" si="0"/>
        <v>43920</v>
      </c>
      <c r="F31" s="88" t="s">
        <v>215</v>
      </c>
      <c r="G31" s="45">
        <v>55</v>
      </c>
      <c r="H31" s="47">
        <v>2000</v>
      </c>
      <c r="I31" s="45">
        <f t="shared" si="1"/>
        <v>153920</v>
      </c>
      <c r="J31" s="45">
        <v>5000</v>
      </c>
      <c r="K31" s="60">
        <f>(I31*0.1)-J31</f>
        <v>10392</v>
      </c>
      <c r="L31" s="61">
        <f t="shared" si="2"/>
        <v>30784</v>
      </c>
      <c r="M31" s="62">
        <f t="shared" si="3"/>
        <v>2992.8888888888887</v>
      </c>
      <c r="N31">
        <v>200</v>
      </c>
      <c r="O31" s="89">
        <f t="shared" si="4"/>
        <v>19710</v>
      </c>
      <c r="P31" s="66">
        <f t="shared" si="5"/>
        <v>12.805353430353431</v>
      </c>
      <c r="Q31" s="66">
        <f t="shared" si="6"/>
        <v>7.8092338914256718</v>
      </c>
    </row>
    <row r="32" spans="1:17" ht="57.6" x14ac:dyDescent="0.3">
      <c r="A32" s="33"/>
      <c r="B32" s="23" t="s">
        <v>49</v>
      </c>
      <c r="C32" s="23">
        <v>369.6</v>
      </c>
      <c r="D32" s="23">
        <v>120</v>
      </c>
      <c r="E32" s="23">
        <f t="shared" si="0"/>
        <v>44352</v>
      </c>
      <c r="F32" s="88" t="s">
        <v>215</v>
      </c>
      <c r="G32" s="45">
        <v>55</v>
      </c>
      <c r="H32" s="47">
        <v>2000</v>
      </c>
      <c r="I32" s="45">
        <f t="shared" si="1"/>
        <v>154352</v>
      </c>
      <c r="J32" s="45">
        <v>5000</v>
      </c>
      <c r="K32" s="60">
        <f>(I32*0.1)-J32</f>
        <v>10435.200000000001</v>
      </c>
      <c r="L32" s="61">
        <f t="shared" si="2"/>
        <v>30870.400000000001</v>
      </c>
      <c r="M32" s="62">
        <f t="shared" si="3"/>
        <v>3001.2888888888888</v>
      </c>
      <c r="N32">
        <v>200</v>
      </c>
      <c r="O32" s="89">
        <f t="shared" si="4"/>
        <v>19710</v>
      </c>
      <c r="P32" s="66">
        <f t="shared" si="5"/>
        <v>12.769513838499016</v>
      </c>
      <c r="Q32" s="66">
        <f t="shared" si="6"/>
        <v>7.8311516996448507</v>
      </c>
    </row>
    <row r="33" spans="1:17" ht="57.6" x14ac:dyDescent="0.3">
      <c r="A33" s="33"/>
      <c r="B33" s="23" t="s">
        <v>50</v>
      </c>
      <c r="C33" s="23">
        <v>385.3</v>
      </c>
      <c r="D33" s="23">
        <v>120</v>
      </c>
      <c r="E33" s="23">
        <f t="shared" si="0"/>
        <v>46236</v>
      </c>
      <c r="F33" s="88" t="s">
        <v>215</v>
      </c>
      <c r="G33" s="45">
        <v>55</v>
      </c>
      <c r="H33" s="47">
        <v>2000</v>
      </c>
      <c r="I33" s="45">
        <f t="shared" si="1"/>
        <v>156236</v>
      </c>
      <c r="J33" s="45">
        <v>5000</v>
      </c>
      <c r="K33" s="60">
        <f>(I33*0.1)-J33</f>
        <v>10623.6</v>
      </c>
      <c r="L33" s="61">
        <f t="shared" si="2"/>
        <v>31247.200000000001</v>
      </c>
      <c r="M33" s="62">
        <f t="shared" si="3"/>
        <v>3037.922222222222</v>
      </c>
      <c r="N33">
        <v>200</v>
      </c>
      <c r="O33" s="89">
        <f t="shared" si="4"/>
        <v>19710</v>
      </c>
      <c r="P33" s="66">
        <f t="shared" si="5"/>
        <v>12.615530351519496</v>
      </c>
      <c r="Q33" s="66">
        <f t="shared" si="6"/>
        <v>7.9267376966007106</v>
      </c>
    </row>
    <row r="34" spans="1:17" ht="57.6" x14ac:dyDescent="0.3">
      <c r="A34" s="33"/>
      <c r="B34" s="23" t="s">
        <v>51</v>
      </c>
      <c r="C34" s="23">
        <v>381.8</v>
      </c>
      <c r="D34" s="23">
        <v>120</v>
      </c>
      <c r="E34" s="23">
        <f t="shared" si="0"/>
        <v>45816</v>
      </c>
      <c r="F34" s="88" t="s">
        <v>215</v>
      </c>
      <c r="G34" s="45">
        <v>55</v>
      </c>
      <c r="H34" s="47">
        <v>2000</v>
      </c>
      <c r="I34" s="45">
        <f t="shared" si="1"/>
        <v>155816</v>
      </c>
      <c r="J34" s="45">
        <v>5000</v>
      </c>
      <c r="K34" s="60">
        <f>(I34*0.1)-J34</f>
        <v>10581.6</v>
      </c>
      <c r="L34" s="61">
        <f t="shared" si="2"/>
        <v>31163.200000000001</v>
      </c>
      <c r="M34" s="62">
        <f t="shared" si="3"/>
        <v>3029.7555555555555</v>
      </c>
      <c r="N34">
        <v>200</v>
      </c>
      <c r="O34" s="89">
        <f t="shared" si="4"/>
        <v>19710</v>
      </c>
      <c r="P34" s="66">
        <f t="shared" si="5"/>
        <v>12.649535349386456</v>
      </c>
      <c r="Q34" s="66">
        <f t="shared" si="6"/>
        <v>7.9054287163876209</v>
      </c>
    </row>
    <row r="35" spans="1:17" ht="72" x14ac:dyDescent="0.3">
      <c r="A35" s="33"/>
      <c r="B35" s="23" t="s">
        <v>52</v>
      </c>
      <c r="C35" s="23">
        <v>336.7</v>
      </c>
      <c r="D35" s="23">
        <v>120</v>
      </c>
      <c r="E35" s="23">
        <f t="shared" si="0"/>
        <v>40404</v>
      </c>
      <c r="F35" s="88" t="s">
        <v>227</v>
      </c>
      <c r="G35" s="45">
        <v>55</v>
      </c>
      <c r="H35" s="47">
        <v>2000</v>
      </c>
      <c r="I35" s="45">
        <f t="shared" si="1"/>
        <v>150404</v>
      </c>
      <c r="J35" s="45">
        <v>5000</v>
      </c>
      <c r="K35" s="60">
        <f>(Sheet1!G222*0.1)-J32</f>
        <v>-4800</v>
      </c>
      <c r="L35" s="61">
        <f t="shared" si="2"/>
        <v>30080.800000000003</v>
      </c>
      <c r="M35" s="62">
        <f t="shared" si="3"/>
        <v>3336.7555555555555</v>
      </c>
      <c r="N35">
        <v>200</v>
      </c>
      <c r="O35" s="89">
        <f t="shared" si="4"/>
        <v>19710</v>
      </c>
      <c r="P35" s="66">
        <f t="shared" si="5"/>
        <v>13.10470466211005</v>
      </c>
      <c r="Q35" s="66">
        <f t="shared" si="6"/>
        <v>7.6308472856418064</v>
      </c>
    </row>
    <row r="36" spans="1:17" ht="57.6" x14ac:dyDescent="0.3">
      <c r="A36" s="33"/>
      <c r="B36" s="23" t="s">
        <v>53</v>
      </c>
      <c r="C36" s="23">
        <v>360.1</v>
      </c>
      <c r="D36" s="23">
        <v>120</v>
      </c>
      <c r="E36" s="23">
        <f t="shared" si="0"/>
        <v>43212</v>
      </c>
      <c r="F36" s="88" t="s">
        <v>215</v>
      </c>
      <c r="G36" s="45">
        <v>55</v>
      </c>
      <c r="H36" s="47">
        <v>2000</v>
      </c>
      <c r="I36" s="45">
        <f t="shared" si="1"/>
        <v>153212</v>
      </c>
      <c r="J36" s="45">
        <v>5000</v>
      </c>
      <c r="K36" s="60">
        <f>(I36*0.1)-J36</f>
        <v>10321.200000000001</v>
      </c>
      <c r="L36" s="61">
        <f t="shared" si="2"/>
        <v>30642.400000000001</v>
      </c>
      <c r="M36" s="62">
        <f t="shared" si="3"/>
        <v>2979.1222222222223</v>
      </c>
      <c r="N36">
        <v>200</v>
      </c>
      <c r="O36" s="89">
        <f t="shared" si="4"/>
        <v>19710</v>
      </c>
      <c r="P36" s="66">
        <f t="shared" si="5"/>
        <v>12.864527582695873</v>
      </c>
      <c r="Q36" s="66">
        <f t="shared" si="6"/>
        <v>7.7733130390664638</v>
      </c>
    </row>
    <row r="37" spans="1:17" ht="72" x14ac:dyDescent="0.3">
      <c r="A37" s="33"/>
      <c r="B37" s="23" t="s">
        <v>54</v>
      </c>
      <c r="C37" s="23">
        <v>325.3</v>
      </c>
      <c r="D37" s="23">
        <v>120</v>
      </c>
      <c r="E37" s="23">
        <f t="shared" si="0"/>
        <v>39036</v>
      </c>
      <c r="F37" s="88" t="s">
        <v>227</v>
      </c>
      <c r="G37" s="45">
        <v>55</v>
      </c>
      <c r="H37" s="47">
        <v>2000</v>
      </c>
      <c r="I37" s="45">
        <f t="shared" si="1"/>
        <v>149036</v>
      </c>
      <c r="J37" s="45">
        <v>5000</v>
      </c>
      <c r="K37" s="60">
        <f>(Sheet1!G224*0.1)-J34</f>
        <v>-4800</v>
      </c>
      <c r="L37" s="61">
        <f t="shared" si="2"/>
        <v>29807.200000000001</v>
      </c>
      <c r="M37" s="62">
        <f t="shared" si="3"/>
        <v>3306.3555555555558</v>
      </c>
      <c r="N37">
        <v>200</v>
      </c>
      <c r="O37" s="89">
        <f t="shared" si="4"/>
        <v>19710</v>
      </c>
      <c r="P37" s="66">
        <f t="shared" si="5"/>
        <v>13.224992619232937</v>
      </c>
      <c r="Q37" s="66">
        <f t="shared" si="6"/>
        <v>7.5614408929477426</v>
      </c>
    </row>
    <row r="38" spans="1:17" ht="72" x14ac:dyDescent="0.3">
      <c r="A38" s="33"/>
      <c r="B38" s="23" t="s">
        <v>55</v>
      </c>
      <c r="C38" s="23">
        <v>335.4</v>
      </c>
      <c r="D38" s="23">
        <v>120</v>
      </c>
      <c r="E38" s="23">
        <f t="shared" si="0"/>
        <v>40248</v>
      </c>
      <c r="F38" s="88" t="s">
        <v>227</v>
      </c>
      <c r="G38" s="45">
        <v>55</v>
      </c>
      <c r="H38" s="47">
        <v>2000</v>
      </c>
      <c r="I38" s="45">
        <f t="shared" si="1"/>
        <v>150248</v>
      </c>
      <c r="J38" s="45">
        <v>5000</v>
      </c>
      <c r="K38" s="60">
        <f>(Sheet1!G225*0.1)-J35</f>
        <v>-4800</v>
      </c>
      <c r="L38" s="61">
        <f t="shared" si="2"/>
        <v>30049.600000000002</v>
      </c>
      <c r="M38" s="62">
        <f t="shared" si="3"/>
        <v>3333.2888888888888</v>
      </c>
      <c r="N38">
        <v>200</v>
      </c>
      <c r="O38" s="89">
        <f t="shared" si="4"/>
        <v>19710</v>
      </c>
      <c r="P38" s="66">
        <f t="shared" si="5"/>
        <v>13.11831105904904</v>
      </c>
      <c r="Q38" s="66">
        <f t="shared" si="6"/>
        <v>7.6229325215626584</v>
      </c>
    </row>
    <row r="39" spans="1:17" ht="72" x14ac:dyDescent="0.3">
      <c r="A39" s="33"/>
      <c r="B39" s="23" t="s">
        <v>56</v>
      </c>
      <c r="C39" s="23">
        <v>293</v>
      </c>
      <c r="D39" s="23">
        <v>120</v>
      </c>
      <c r="E39" s="23">
        <f t="shared" si="0"/>
        <v>35160</v>
      </c>
      <c r="F39" s="88" t="s">
        <v>227</v>
      </c>
      <c r="G39" s="45">
        <v>55</v>
      </c>
      <c r="H39" s="47">
        <v>2000</v>
      </c>
      <c r="I39" s="45">
        <f t="shared" si="1"/>
        <v>145160</v>
      </c>
      <c r="J39" s="45">
        <v>5000</v>
      </c>
      <c r="K39" s="60">
        <f>(Sheet1!G226*0.1)-J36</f>
        <v>-4800</v>
      </c>
      <c r="L39" s="61">
        <f t="shared" si="2"/>
        <v>29032</v>
      </c>
      <c r="M39" s="62">
        <f t="shared" si="3"/>
        <v>3220.2222222222222</v>
      </c>
      <c r="N39">
        <v>200</v>
      </c>
      <c r="O39" s="89">
        <f t="shared" si="4"/>
        <v>19710</v>
      </c>
      <c r="P39" s="66">
        <f t="shared" si="5"/>
        <v>13.578120694406174</v>
      </c>
      <c r="Q39" s="66">
        <f t="shared" si="6"/>
        <v>7.3647894469812281</v>
      </c>
    </row>
    <row r="40" spans="1:17" ht="72" x14ac:dyDescent="0.3">
      <c r="A40" s="33"/>
      <c r="B40" s="23" t="s">
        <v>57</v>
      </c>
      <c r="C40" s="23">
        <v>334.3</v>
      </c>
      <c r="D40" s="23">
        <v>120</v>
      </c>
      <c r="E40" s="23">
        <f t="shared" si="0"/>
        <v>40116</v>
      </c>
      <c r="F40" s="88" t="s">
        <v>227</v>
      </c>
      <c r="G40" s="45">
        <v>55</v>
      </c>
      <c r="H40" s="47">
        <v>2000</v>
      </c>
      <c r="I40" s="45">
        <f t="shared" si="1"/>
        <v>150116</v>
      </c>
      <c r="J40" s="45">
        <v>5000</v>
      </c>
      <c r="K40" s="60">
        <f>(Sheet1!G227*0.1)-J37</f>
        <v>-4800</v>
      </c>
      <c r="L40" s="61">
        <f t="shared" si="2"/>
        <v>30023.200000000001</v>
      </c>
      <c r="M40" s="62">
        <f t="shared" si="3"/>
        <v>3330.3555555555558</v>
      </c>
      <c r="N40">
        <v>200</v>
      </c>
      <c r="O40" s="89">
        <f t="shared" si="4"/>
        <v>19710</v>
      </c>
      <c r="P40" s="66">
        <f t="shared" si="5"/>
        <v>13.129846252231609</v>
      </c>
      <c r="Q40" s="66">
        <f t="shared" si="6"/>
        <v>7.6162354134956871</v>
      </c>
    </row>
    <row r="41" spans="1:17" ht="57.6" x14ac:dyDescent="0.3">
      <c r="A41" s="33"/>
      <c r="B41" s="23" t="s">
        <v>58</v>
      </c>
      <c r="C41" s="23">
        <v>433.6</v>
      </c>
      <c r="D41" s="23">
        <v>120</v>
      </c>
      <c r="E41" s="23">
        <f t="shared" si="0"/>
        <v>52032</v>
      </c>
      <c r="F41" s="88" t="s">
        <v>215</v>
      </c>
      <c r="G41" s="45">
        <v>55</v>
      </c>
      <c r="H41" s="47">
        <v>2000</v>
      </c>
      <c r="I41" s="45">
        <f t="shared" si="1"/>
        <v>162032</v>
      </c>
      <c r="J41" s="45">
        <v>5000</v>
      </c>
      <c r="K41" s="60">
        <f>(I41*0.1)-J41</f>
        <v>11203.2</v>
      </c>
      <c r="L41" s="61">
        <f t="shared" si="2"/>
        <v>32406.400000000001</v>
      </c>
      <c r="M41" s="62">
        <f t="shared" si="3"/>
        <v>3150.6222222222223</v>
      </c>
      <c r="N41">
        <v>200</v>
      </c>
      <c r="O41" s="89">
        <f t="shared" si="4"/>
        <v>19710</v>
      </c>
      <c r="P41" s="66">
        <f t="shared" si="5"/>
        <v>12.164263849116223</v>
      </c>
      <c r="Q41" s="66">
        <f t="shared" si="6"/>
        <v>8.2208016235413499</v>
      </c>
    </row>
    <row r="42" spans="1:17" ht="57.6" x14ac:dyDescent="0.3">
      <c r="A42" s="33"/>
      <c r="B42" s="23" t="s">
        <v>59</v>
      </c>
      <c r="C42" s="23">
        <v>441</v>
      </c>
      <c r="D42" s="23">
        <v>120</v>
      </c>
      <c r="E42" s="23">
        <f t="shared" si="0"/>
        <v>52920</v>
      </c>
      <c r="F42" s="88" t="s">
        <v>215</v>
      </c>
      <c r="G42" s="45">
        <v>55</v>
      </c>
      <c r="H42" s="47">
        <v>2000</v>
      </c>
      <c r="I42" s="45">
        <f t="shared" si="1"/>
        <v>162920</v>
      </c>
      <c r="J42" s="45">
        <v>5000</v>
      </c>
      <c r="K42" s="60">
        <f>(I42*0.1)-J42</f>
        <v>11292</v>
      </c>
      <c r="L42" s="61">
        <f t="shared" si="2"/>
        <v>32584</v>
      </c>
      <c r="M42" s="62">
        <f t="shared" si="3"/>
        <v>3167.8888888888887</v>
      </c>
      <c r="N42">
        <v>200</v>
      </c>
      <c r="O42" s="89">
        <f t="shared" si="4"/>
        <v>19710</v>
      </c>
      <c r="P42" s="66">
        <f t="shared" si="5"/>
        <v>12.097962190031918</v>
      </c>
      <c r="Q42" s="66">
        <f t="shared" si="6"/>
        <v>8.2658548959918825</v>
      </c>
    </row>
    <row r="43" spans="1:17" ht="86.4" x14ac:dyDescent="0.3">
      <c r="A43" s="33"/>
      <c r="B43" s="23" t="s">
        <v>60</v>
      </c>
      <c r="C43" s="23">
        <v>476.4</v>
      </c>
      <c r="D43" s="23">
        <v>120</v>
      </c>
      <c r="E43" s="23">
        <f t="shared" si="0"/>
        <v>57168</v>
      </c>
      <c r="F43" s="88" t="s">
        <v>208</v>
      </c>
      <c r="G43" s="45">
        <v>85</v>
      </c>
      <c r="H43" s="47">
        <v>2000</v>
      </c>
      <c r="I43" s="45">
        <f t="shared" si="1"/>
        <v>227168</v>
      </c>
      <c r="J43" s="45">
        <v>5000</v>
      </c>
      <c r="K43" s="60">
        <f>(Sheet1!G230*0.1)-J40</f>
        <v>-4800</v>
      </c>
      <c r="L43" s="61">
        <f t="shared" si="2"/>
        <v>45433.600000000006</v>
      </c>
      <c r="M43" s="62">
        <f t="shared" si="3"/>
        <v>5042.6222222222223</v>
      </c>
      <c r="N43">
        <v>300</v>
      </c>
      <c r="O43" s="89">
        <f t="shared" si="4"/>
        <v>29565</v>
      </c>
      <c r="P43" s="66">
        <f t="shared" si="5"/>
        <v>13.014597126355826</v>
      </c>
      <c r="Q43" s="66">
        <f t="shared" si="6"/>
        <v>7.6836800270590224</v>
      </c>
    </row>
    <row r="44" spans="1:17" ht="57.6" x14ac:dyDescent="0.3">
      <c r="A44" s="33"/>
      <c r="B44" s="23" t="s">
        <v>61</v>
      </c>
      <c r="C44" s="23">
        <v>353.5</v>
      </c>
      <c r="D44" s="23">
        <v>120</v>
      </c>
      <c r="E44" s="23">
        <f t="shared" si="0"/>
        <v>42420</v>
      </c>
      <c r="F44" s="88" t="s">
        <v>215</v>
      </c>
      <c r="G44" s="45">
        <v>55</v>
      </c>
      <c r="H44" s="47">
        <v>2000</v>
      </c>
      <c r="I44" s="45">
        <f t="shared" si="1"/>
        <v>152420</v>
      </c>
      <c r="J44" s="45">
        <v>5000</v>
      </c>
      <c r="K44" s="60">
        <f>(I44*0.1)-J44</f>
        <v>10242</v>
      </c>
      <c r="L44" s="61">
        <f t="shared" si="2"/>
        <v>30484</v>
      </c>
      <c r="M44" s="62">
        <f t="shared" si="3"/>
        <v>2963.7222222222222</v>
      </c>
      <c r="N44">
        <v>200</v>
      </c>
      <c r="O44" s="89">
        <f t="shared" si="4"/>
        <v>19710</v>
      </c>
      <c r="P44" s="66">
        <f t="shared" si="5"/>
        <v>12.931373835454666</v>
      </c>
      <c r="Q44" s="66">
        <f t="shared" si="6"/>
        <v>7.7331303906646376</v>
      </c>
    </row>
    <row r="45" spans="1:17" ht="72" x14ac:dyDescent="0.3">
      <c r="A45" s="22"/>
      <c r="B45" s="87" t="s">
        <v>62</v>
      </c>
      <c r="C45" s="87">
        <v>626.5</v>
      </c>
      <c r="D45" s="87">
        <v>120</v>
      </c>
      <c r="E45" s="87">
        <f t="shared" si="0"/>
        <v>75180</v>
      </c>
      <c r="F45" s="88" t="s">
        <v>204</v>
      </c>
      <c r="G45" s="45">
        <v>110</v>
      </c>
      <c r="H45" s="47">
        <v>2000</v>
      </c>
      <c r="I45" s="45">
        <f t="shared" si="1"/>
        <v>295180</v>
      </c>
      <c r="J45" s="45">
        <v>5000</v>
      </c>
      <c r="K45" s="60">
        <f>(Sheet1!G232*0.1)-J42</f>
        <v>-4800</v>
      </c>
      <c r="L45" s="61">
        <f t="shared" si="2"/>
        <v>59036</v>
      </c>
      <c r="M45" s="62">
        <f t="shared" si="3"/>
        <v>6554</v>
      </c>
      <c r="N45">
        <v>300</v>
      </c>
      <c r="O45" s="89">
        <f t="shared" si="4"/>
        <v>29565</v>
      </c>
      <c r="P45" s="66">
        <f t="shared" si="5"/>
        <v>10.015922487973441</v>
      </c>
      <c r="Q45" s="66">
        <f t="shared" si="6"/>
        <v>9.9841028242854719</v>
      </c>
    </row>
    <row r="46" spans="1:17" ht="72" x14ac:dyDescent="0.3">
      <c r="A46" s="22"/>
      <c r="B46" s="87" t="s">
        <v>63</v>
      </c>
      <c r="C46" s="87">
        <v>721.9</v>
      </c>
      <c r="D46" s="87">
        <v>120</v>
      </c>
      <c r="E46" s="87">
        <f t="shared" si="0"/>
        <v>86628</v>
      </c>
      <c r="F46" s="88" t="s">
        <v>204</v>
      </c>
      <c r="G46" s="45">
        <v>110</v>
      </c>
      <c r="H46" s="47">
        <v>2000</v>
      </c>
      <c r="I46" s="45">
        <f t="shared" si="1"/>
        <v>306628</v>
      </c>
      <c r="J46" s="45">
        <v>5000</v>
      </c>
      <c r="K46" s="60">
        <f>(I46*0.1)-J46</f>
        <v>25662.800000000003</v>
      </c>
      <c r="L46" s="61">
        <f t="shared" si="2"/>
        <v>61325.600000000006</v>
      </c>
      <c r="M46" s="62">
        <f t="shared" si="3"/>
        <v>5962.2111111111117</v>
      </c>
      <c r="N46">
        <v>400</v>
      </c>
      <c r="O46" s="89">
        <f t="shared" si="4"/>
        <v>39420</v>
      </c>
      <c r="P46" s="66">
        <f t="shared" si="5"/>
        <v>12.855968796065593</v>
      </c>
      <c r="Q46" s="66">
        <f t="shared" si="6"/>
        <v>7.7784880771182143</v>
      </c>
    </row>
    <row r="47" spans="1:17" ht="72" x14ac:dyDescent="0.3">
      <c r="A47" s="22"/>
      <c r="B47" s="87" t="s">
        <v>64</v>
      </c>
      <c r="C47" s="87">
        <v>789.1</v>
      </c>
      <c r="D47" s="87">
        <v>120</v>
      </c>
      <c r="E47" s="87">
        <f t="shared" si="0"/>
        <v>94692</v>
      </c>
      <c r="F47" s="88" t="s">
        <v>204</v>
      </c>
      <c r="G47" s="45">
        <v>110</v>
      </c>
      <c r="H47" s="47">
        <v>2000</v>
      </c>
      <c r="I47" s="45">
        <f t="shared" si="1"/>
        <v>314692</v>
      </c>
      <c r="J47" s="45">
        <v>5000</v>
      </c>
      <c r="K47" s="60">
        <f>(I47*0.1)-J47</f>
        <v>26469.200000000001</v>
      </c>
      <c r="L47" s="61">
        <f t="shared" si="2"/>
        <v>62938.400000000001</v>
      </c>
      <c r="M47" s="62">
        <f t="shared" si="3"/>
        <v>6119.0111111111109</v>
      </c>
      <c r="N47">
        <v>400</v>
      </c>
      <c r="O47" s="89">
        <f t="shared" si="4"/>
        <v>39420</v>
      </c>
      <c r="P47" s="66">
        <f t="shared" si="5"/>
        <v>12.526533880746889</v>
      </c>
      <c r="Q47" s="66">
        <f t="shared" si="6"/>
        <v>7.9830542871638759</v>
      </c>
    </row>
    <row r="48" spans="1:17" ht="72" x14ac:dyDescent="0.3">
      <c r="A48" s="22"/>
      <c r="B48" s="87" t="s">
        <v>65</v>
      </c>
      <c r="C48" s="87">
        <v>918.3</v>
      </c>
      <c r="D48" s="87">
        <v>120</v>
      </c>
      <c r="E48" s="87">
        <f t="shared" si="0"/>
        <v>110196</v>
      </c>
      <c r="F48" s="88" t="s">
        <v>204</v>
      </c>
      <c r="G48" s="45">
        <v>110</v>
      </c>
      <c r="H48" s="47">
        <v>2000</v>
      </c>
      <c r="I48" s="45">
        <f t="shared" si="1"/>
        <v>330196</v>
      </c>
      <c r="J48" s="45">
        <v>5000</v>
      </c>
      <c r="K48" s="60">
        <f>(I48*0.1)-J48</f>
        <v>28019.599999999999</v>
      </c>
      <c r="L48" s="61">
        <f t="shared" si="2"/>
        <v>66039.199999999997</v>
      </c>
      <c r="M48" s="62">
        <f t="shared" si="3"/>
        <v>6420.4777777777781</v>
      </c>
      <c r="N48">
        <v>400</v>
      </c>
      <c r="O48" s="89">
        <f t="shared" si="4"/>
        <v>39420</v>
      </c>
      <c r="P48" s="66">
        <f t="shared" si="5"/>
        <v>11.938363880846529</v>
      </c>
      <c r="Q48" s="66">
        <f t="shared" si="6"/>
        <v>8.3763571790969049</v>
      </c>
    </row>
    <row r="49" spans="1:17" ht="72" x14ac:dyDescent="0.3">
      <c r="A49" s="22"/>
      <c r="B49" s="87" t="s">
        <v>66</v>
      </c>
      <c r="C49" s="87">
        <v>744.7</v>
      </c>
      <c r="D49" s="87">
        <v>120</v>
      </c>
      <c r="E49" s="87">
        <f t="shared" si="0"/>
        <v>89364</v>
      </c>
      <c r="F49" s="88" t="s">
        <v>204</v>
      </c>
      <c r="G49" s="45">
        <v>110</v>
      </c>
      <c r="H49" s="47">
        <v>2000</v>
      </c>
      <c r="I49" s="45">
        <f t="shared" si="1"/>
        <v>309364</v>
      </c>
      <c r="J49" s="45">
        <v>5000</v>
      </c>
      <c r="K49" s="60">
        <f>(I49*0.1)-J49</f>
        <v>25936.400000000001</v>
      </c>
      <c r="L49" s="61">
        <f t="shared" si="2"/>
        <v>61872.800000000003</v>
      </c>
      <c r="M49" s="62">
        <f t="shared" si="3"/>
        <v>6015.4111111111106</v>
      </c>
      <c r="N49">
        <v>400</v>
      </c>
      <c r="O49" s="89">
        <f t="shared" si="4"/>
        <v>39420</v>
      </c>
      <c r="P49" s="66">
        <f t="shared" si="5"/>
        <v>12.742271240351172</v>
      </c>
      <c r="Q49" s="66">
        <f t="shared" si="6"/>
        <v>7.8478944698122781</v>
      </c>
    </row>
    <row r="50" spans="1:17" ht="72" x14ac:dyDescent="0.3">
      <c r="A50" s="22"/>
      <c r="B50" s="87" t="s">
        <v>67</v>
      </c>
      <c r="C50" s="87">
        <v>751.9</v>
      </c>
      <c r="D50" s="87">
        <v>120</v>
      </c>
      <c r="E50" s="87">
        <f t="shared" si="0"/>
        <v>90228</v>
      </c>
      <c r="F50" s="88" t="s">
        <v>204</v>
      </c>
      <c r="G50" s="45">
        <v>110</v>
      </c>
      <c r="H50" s="47">
        <v>2000</v>
      </c>
      <c r="I50" s="45">
        <f t="shared" si="1"/>
        <v>310228</v>
      </c>
      <c r="J50" s="45">
        <v>5000</v>
      </c>
      <c r="K50" s="60">
        <f>(I50*0.1)-J50</f>
        <v>26022.800000000003</v>
      </c>
      <c r="L50" s="61">
        <f t="shared" si="2"/>
        <v>62045.600000000006</v>
      </c>
      <c r="M50" s="62">
        <f t="shared" si="3"/>
        <v>6032.2111111111117</v>
      </c>
      <c r="N50">
        <v>400</v>
      </c>
      <c r="O50" s="89">
        <f t="shared" si="4"/>
        <v>39420</v>
      </c>
      <c r="P50" s="66">
        <f t="shared" si="5"/>
        <v>12.706783398016944</v>
      </c>
      <c r="Q50" s="66">
        <f t="shared" si="6"/>
        <v>7.8698122780314561</v>
      </c>
    </row>
    <row r="51" spans="1:17" x14ac:dyDescent="0.3">
      <c r="A51" s="44"/>
      <c r="B51" s="34"/>
      <c r="C51" s="96"/>
      <c r="D51" s="34"/>
      <c r="E51" s="97"/>
      <c r="F51" s="88"/>
      <c r="G51" s="45"/>
      <c r="H51" s="47"/>
      <c r="I51" s="98"/>
      <c r="J51" s="45"/>
      <c r="K51" s="60"/>
      <c r="L51" s="61"/>
      <c r="M51" s="62"/>
      <c r="O51" s="89"/>
      <c r="P51" s="66"/>
      <c r="Q51" s="66"/>
    </row>
    <row r="52" spans="1:17" x14ac:dyDescent="0.3">
      <c r="A52" s="47"/>
      <c r="B52" s="47"/>
      <c r="C52" s="99"/>
      <c r="D52" s="45"/>
      <c r="E52" s="45"/>
      <c r="F52" s="88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</row>
    <row r="53" spans="1:17" ht="86.4" x14ac:dyDescent="0.3">
      <c r="A53" s="48"/>
      <c r="B53" s="1" t="s">
        <v>0</v>
      </c>
      <c r="C53" s="1" t="s">
        <v>1</v>
      </c>
      <c r="D53" s="2" t="s">
        <v>2</v>
      </c>
      <c r="E53" s="2" t="s">
        <v>3</v>
      </c>
      <c r="F53" s="3" t="s">
        <v>4</v>
      </c>
      <c r="G53" s="1" t="s">
        <v>5</v>
      </c>
      <c r="H53" s="4" t="s">
        <v>6</v>
      </c>
      <c r="I53" s="5" t="s">
        <v>7</v>
      </c>
      <c r="J53" s="2" t="s">
        <v>8</v>
      </c>
      <c r="K53" s="6" t="s">
        <v>9</v>
      </c>
      <c r="L53" s="7" t="s">
        <v>10</v>
      </c>
      <c r="M53" s="8" t="s">
        <v>11</v>
      </c>
      <c r="N53" s="1" t="s">
        <v>199</v>
      </c>
      <c r="O53" s="1" t="s">
        <v>201</v>
      </c>
      <c r="P53" s="10" t="s">
        <v>15</v>
      </c>
      <c r="Q53" s="10" t="s">
        <v>202</v>
      </c>
    </row>
    <row r="54" spans="1:17" ht="72" x14ac:dyDescent="0.3">
      <c r="A54" s="52"/>
      <c r="B54" s="84" t="s">
        <v>69</v>
      </c>
      <c r="C54" s="100">
        <v>654.9</v>
      </c>
      <c r="D54" s="100">
        <v>100</v>
      </c>
      <c r="E54" s="100">
        <f t="shared" ref="E54:E97" si="8">D54*C54</f>
        <v>65490</v>
      </c>
      <c r="F54" s="101" t="s">
        <v>204</v>
      </c>
      <c r="G54">
        <v>110</v>
      </c>
      <c r="H54">
        <v>2000</v>
      </c>
      <c r="I54">
        <f t="shared" ref="I54:I97" si="9">H54*G54+E54</f>
        <v>285490</v>
      </c>
      <c r="J54" s="45">
        <v>5000</v>
      </c>
      <c r="K54" s="60">
        <f t="shared" ref="K54:K97" si="10">(I54*0.1)-J54</f>
        <v>23549</v>
      </c>
      <c r="L54" s="61">
        <f t="shared" ref="L54:L97" si="11">I54*0.2</f>
        <v>57098</v>
      </c>
      <c r="M54" s="62">
        <f t="shared" ref="M54:M97" si="12">(I54-J54-K54-L54)/36</f>
        <v>5551.1944444444443</v>
      </c>
      <c r="N54">
        <v>300</v>
      </c>
      <c r="O54">
        <f t="shared" ref="O54:O97" si="13">(N54*365*0.45)*0.6</f>
        <v>29565</v>
      </c>
      <c r="P54" s="66">
        <f t="shared" ref="P54:P97" si="14">(O54/I54)*100</f>
        <v>10.355879365301762</v>
      </c>
      <c r="Q54" s="66">
        <f t="shared" ref="Q54:Q97" si="15">I54/O54</f>
        <v>9.6563504143412811</v>
      </c>
    </row>
    <row r="55" spans="1:17" ht="57.6" x14ac:dyDescent="0.3">
      <c r="A55" s="55"/>
      <c r="B55" t="s">
        <v>71</v>
      </c>
      <c r="C55" s="31">
        <v>392.4</v>
      </c>
      <c r="D55" s="31">
        <v>100</v>
      </c>
      <c r="E55" s="31">
        <f t="shared" si="8"/>
        <v>39240</v>
      </c>
      <c r="F55" s="101" t="s">
        <v>215</v>
      </c>
      <c r="G55">
        <v>55</v>
      </c>
      <c r="H55">
        <v>2000</v>
      </c>
      <c r="I55">
        <f t="shared" si="9"/>
        <v>149240</v>
      </c>
      <c r="J55" s="45">
        <v>5000</v>
      </c>
      <c r="K55" s="60">
        <f t="shared" si="10"/>
        <v>9924</v>
      </c>
      <c r="L55" s="61">
        <f t="shared" si="11"/>
        <v>29848</v>
      </c>
      <c r="M55" s="62">
        <f t="shared" si="12"/>
        <v>2901.8888888888887</v>
      </c>
      <c r="N55">
        <v>180</v>
      </c>
      <c r="O55">
        <f t="shared" si="13"/>
        <v>17739</v>
      </c>
      <c r="P55" s="66">
        <f t="shared" si="14"/>
        <v>11.886223532564996</v>
      </c>
      <c r="Q55" s="66">
        <f t="shared" si="15"/>
        <v>8.4131010767236027</v>
      </c>
    </row>
    <row r="56" spans="1:17" ht="86.4" x14ac:dyDescent="0.3">
      <c r="A56" s="55"/>
      <c r="B56" t="s">
        <v>73</v>
      </c>
      <c r="C56" s="31">
        <v>491.7</v>
      </c>
      <c r="D56" s="31">
        <v>100</v>
      </c>
      <c r="E56" s="31">
        <f t="shared" si="8"/>
        <v>49170</v>
      </c>
      <c r="F56" s="101" t="s">
        <v>208</v>
      </c>
      <c r="G56">
        <v>85</v>
      </c>
      <c r="H56">
        <v>2000</v>
      </c>
      <c r="I56">
        <f t="shared" si="9"/>
        <v>219170</v>
      </c>
      <c r="J56" s="45">
        <v>5000</v>
      </c>
      <c r="K56" s="60">
        <f t="shared" si="10"/>
        <v>16917</v>
      </c>
      <c r="L56" s="61">
        <f t="shared" si="11"/>
        <v>43834</v>
      </c>
      <c r="M56" s="62">
        <f t="shared" si="12"/>
        <v>4261.6388888888887</v>
      </c>
      <c r="N56">
        <v>181</v>
      </c>
      <c r="O56">
        <f t="shared" si="13"/>
        <v>17837.55</v>
      </c>
      <c r="P56" s="66">
        <f t="shared" si="14"/>
        <v>8.1386823014098635</v>
      </c>
      <c r="Q56" s="66">
        <f t="shared" si="15"/>
        <v>12.287001297823974</v>
      </c>
    </row>
    <row r="57" spans="1:17" ht="86.4" x14ac:dyDescent="0.3">
      <c r="A57" s="55"/>
      <c r="B57" t="s">
        <v>75</v>
      </c>
      <c r="C57" s="31">
        <v>557.79999999999995</v>
      </c>
      <c r="D57" s="31">
        <v>100</v>
      </c>
      <c r="E57" s="31">
        <f t="shared" si="8"/>
        <v>55779.999999999993</v>
      </c>
      <c r="F57" s="101" t="s">
        <v>208</v>
      </c>
      <c r="G57">
        <v>85</v>
      </c>
      <c r="H57">
        <v>2000</v>
      </c>
      <c r="I57">
        <f t="shared" si="9"/>
        <v>225780</v>
      </c>
      <c r="J57" s="45">
        <v>5000</v>
      </c>
      <c r="K57" s="60">
        <f t="shared" si="10"/>
        <v>17578</v>
      </c>
      <c r="L57" s="61">
        <f t="shared" si="11"/>
        <v>45156</v>
      </c>
      <c r="M57" s="62">
        <f t="shared" si="12"/>
        <v>4390.166666666667</v>
      </c>
      <c r="N57">
        <v>182</v>
      </c>
      <c r="O57">
        <f t="shared" si="13"/>
        <v>17936.099999999999</v>
      </c>
      <c r="P57" s="66">
        <f t="shared" si="14"/>
        <v>7.9440605899548222</v>
      </c>
      <c r="Q57" s="66">
        <f t="shared" si="15"/>
        <v>12.588020807198891</v>
      </c>
    </row>
    <row r="58" spans="1:17" ht="86.4" x14ac:dyDescent="0.3">
      <c r="A58" s="55"/>
      <c r="B58" t="s">
        <v>76</v>
      </c>
      <c r="C58" s="31">
        <v>591.5</v>
      </c>
      <c r="D58" s="31">
        <v>100</v>
      </c>
      <c r="E58" s="31">
        <f t="shared" si="8"/>
        <v>59150</v>
      </c>
      <c r="F58" s="101" t="s">
        <v>208</v>
      </c>
      <c r="G58">
        <v>85</v>
      </c>
      <c r="H58">
        <v>2000</v>
      </c>
      <c r="I58">
        <f t="shared" si="9"/>
        <v>229150</v>
      </c>
      <c r="J58" s="45">
        <v>5000</v>
      </c>
      <c r="K58" s="60">
        <f t="shared" si="10"/>
        <v>17915</v>
      </c>
      <c r="L58" s="61">
        <f t="shared" si="11"/>
        <v>45830</v>
      </c>
      <c r="M58" s="62">
        <f t="shared" si="12"/>
        <v>4455.6944444444443</v>
      </c>
      <c r="N58">
        <v>183</v>
      </c>
      <c r="O58">
        <f t="shared" si="13"/>
        <v>18034.649999999998</v>
      </c>
      <c r="P58" s="66">
        <f t="shared" si="14"/>
        <v>7.8702378354789424</v>
      </c>
      <c r="Q58" s="66">
        <f t="shared" si="15"/>
        <v>12.70609632013929</v>
      </c>
    </row>
    <row r="59" spans="1:17" ht="72" x14ac:dyDescent="0.3">
      <c r="A59" s="52"/>
      <c r="B59" s="84" t="s">
        <v>77</v>
      </c>
      <c r="C59" s="100">
        <v>608.4</v>
      </c>
      <c r="D59" s="100">
        <v>100</v>
      </c>
      <c r="E59" s="100">
        <f t="shared" si="8"/>
        <v>60840</v>
      </c>
      <c r="F59" s="101" t="s">
        <v>204</v>
      </c>
      <c r="G59">
        <v>110</v>
      </c>
      <c r="H59">
        <v>2000</v>
      </c>
      <c r="I59">
        <f t="shared" si="9"/>
        <v>280840</v>
      </c>
      <c r="J59" s="45">
        <v>5000</v>
      </c>
      <c r="K59" s="60">
        <f t="shared" si="10"/>
        <v>23084</v>
      </c>
      <c r="L59" s="61">
        <f t="shared" si="11"/>
        <v>56168</v>
      </c>
      <c r="M59" s="62">
        <f t="shared" si="12"/>
        <v>5460.7777777777774</v>
      </c>
      <c r="N59">
        <v>300</v>
      </c>
      <c r="O59">
        <f t="shared" si="13"/>
        <v>29565</v>
      </c>
      <c r="P59" s="66">
        <f t="shared" si="14"/>
        <v>10.527346531833071</v>
      </c>
      <c r="Q59" s="66">
        <f t="shared" si="15"/>
        <v>9.4990698461018095</v>
      </c>
    </row>
    <row r="60" spans="1:17" ht="72" x14ac:dyDescent="0.3">
      <c r="A60" s="52"/>
      <c r="B60" s="84" t="s">
        <v>78</v>
      </c>
      <c r="C60" s="100">
        <v>609.79999999999995</v>
      </c>
      <c r="D60" s="100">
        <v>100</v>
      </c>
      <c r="E60" s="100">
        <f t="shared" si="8"/>
        <v>60979.999999999993</v>
      </c>
      <c r="F60" s="101" t="s">
        <v>204</v>
      </c>
      <c r="G60">
        <v>110</v>
      </c>
      <c r="H60">
        <v>2000</v>
      </c>
      <c r="I60">
        <f t="shared" si="9"/>
        <v>280980</v>
      </c>
      <c r="J60" s="45">
        <v>5000</v>
      </c>
      <c r="K60" s="60">
        <f t="shared" si="10"/>
        <v>23098</v>
      </c>
      <c r="L60" s="61">
        <f t="shared" si="11"/>
        <v>56196</v>
      </c>
      <c r="M60" s="62">
        <f t="shared" si="12"/>
        <v>5463.5</v>
      </c>
      <c r="N60">
        <v>300</v>
      </c>
      <c r="O60">
        <f t="shared" si="13"/>
        <v>29565</v>
      </c>
      <c r="P60" s="66">
        <f t="shared" si="14"/>
        <v>10.522101217168482</v>
      </c>
      <c r="Q60" s="66">
        <f t="shared" si="15"/>
        <v>9.5038051750380514</v>
      </c>
    </row>
    <row r="61" spans="1:17" ht="86.4" x14ac:dyDescent="0.3">
      <c r="A61" s="55"/>
      <c r="B61" t="s">
        <v>79</v>
      </c>
      <c r="C61" s="31">
        <v>580.20000000000005</v>
      </c>
      <c r="D61" s="31">
        <v>100</v>
      </c>
      <c r="E61" s="31">
        <f t="shared" si="8"/>
        <v>58020.000000000007</v>
      </c>
      <c r="F61" s="101" t="s">
        <v>208</v>
      </c>
      <c r="G61">
        <v>85</v>
      </c>
      <c r="H61">
        <v>2000</v>
      </c>
      <c r="I61">
        <f t="shared" si="9"/>
        <v>228020</v>
      </c>
      <c r="J61" s="45">
        <v>5000</v>
      </c>
      <c r="K61" s="60">
        <f t="shared" si="10"/>
        <v>17802</v>
      </c>
      <c r="L61" s="61">
        <f t="shared" si="11"/>
        <v>45604</v>
      </c>
      <c r="M61" s="62">
        <f t="shared" si="12"/>
        <v>4433.7222222222226</v>
      </c>
      <c r="N61">
        <v>301</v>
      </c>
      <c r="O61">
        <f t="shared" si="13"/>
        <v>29663.55</v>
      </c>
      <c r="P61" s="66">
        <f t="shared" si="14"/>
        <v>13.009187790544688</v>
      </c>
      <c r="Q61" s="66">
        <f t="shared" si="15"/>
        <v>7.6868749694490379</v>
      </c>
    </row>
    <row r="62" spans="1:17" ht="86.4" x14ac:dyDescent="0.3">
      <c r="A62" s="55"/>
      <c r="B62" t="s">
        <v>80</v>
      </c>
      <c r="C62" s="31">
        <v>567.20000000000005</v>
      </c>
      <c r="D62" s="31">
        <v>100</v>
      </c>
      <c r="E62" s="31">
        <f t="shared" si="8"/>
        <v>56720.000000000007</v>
      </c>
      <c r="F62" s="101" t="s">
        <v>208</v>
      </c>
      <c r="G62">
        <v>85</v>
      </c>
      <c r="H62">
        <v>2000</v>
      </c>
      <c r="I62">
        <f t="shared" si="9"/>
        <v>226720</v>
      </c>
      <c r="J62" s="45">
        <v>5000</v>
      </c>
      <c r="K62" s="60">
        <f t="shared" si="10"/>
        <v>17672</v>
      </c>
      <c r="L62" s="61">
        <f t="shared" si="11"/>
        <v>45344</v>
      </c>
      <c r="M62" s="62">
        <f t="shared" si="12"/>
        <v>4408.4444444444443</v>
      </c>
      <c r="N62">
        <v>302</v>
      </c>
      <c r="O62">
        <f t="shared" si="13"/>
        <v>29762.1</v>
      </c>
      <c r="P62" s="66">
        <f t="shared" si="14"/>
        <v>13.127249470712773</v>
      </c>
      <c r="Q62" s="66">
        <f t="shared" si="15"/>
        <v>7.6177420276122989</v>
      </c>
    </row>
    <row r="63" spans="1:17" ht="86.4" x14ac:dyDescent="0.3">
      <c r="A63" s="55"/>
      <c r="B63" t="s">
        <v>81</v>
      </c>
      <c r="C63" s="31">
        <v>548</v>
      </c>
      <c r="D63" s="31">
        <v>100</v>
      </c>
      <c r="E63" s="31">
        <f t="shared" si="8"/>
        <v>54800</v>
      </c>
      <c r="F63" s="101" t="s">
        <v>208</v>
      </c>
      <c r="G63">
        <v>85</v>
      </c>
      <c r="H63">
        <v>2000</v>
      </c>
      <c r="I63">
        <f t="shared" si="9"/>
        <v>224800</v>
      </c>
      <c r="J63" s="45">
        <v>5000</v>
      </c>
      <c r="K63" s="60">
        <f t="shared" si="10"/>
        <v>17480</v>
      </c>
      <c r="L63" s="61">
        <f t="shared" si="11"/>
        <v>44960</v>
      </c>
      <c r="M63" s="62">
        <f t="shared" si="12"/>
        <v>4371.1111111111113</v>
      </c>
      <c r="N63">
        <v>303</v>
      </c>
      <c r="O63">
        <f t="shared" si="13"/>
        <v>29860.649999999998</v>
      </c>
      <c r="P63" s="66">
        <f t="shared" si="14"/>
        <v>13.283207295373664</v>
      </c>
      <c r="Q63" s="66">
        <f t="shared" si="15"/>
        <v>7.5283022975052454</v>
      </c>
    </row>
    <row r="64" spans="1:17" ht="86.4" x14ac:dyDescent="0.3">
      <c r="A64" s="55"/>
      <c r="B64" t="s">
        <v>82</v>
      </c>
      <c r="C64" s="31">
        <v>511.9</v>
      </c>
      <c r="D64" s="31">
        <v>100</v>
      </c>
      <c r="E64" s="31">
        <f t="shared" si="8"/>
        <v>51190</v>
      </c>
      <c r="F64" s="101" t="s">
        <v>208</v>
      </c>
      <c r="G64">
        <v>85</v>
      </c>
      <c r="H64">
        <v>2000</v>
      </c>
      <c r="I64">
        <f t="shared" si="9"/>
        <v>221190</v>
      </c>
      <c r="J64" s="45">
        <v>5000</v>
      </c>
      <c r="K64" s="60">
        <f t="shared" si="10"/>
        <v>17119</v>
      </c>
      <c r="L64" s="61">
        <f t="shared" si="11"/>
        <v>44238</v>
      </c>
      <c r="M64" s="62">
        <f t="shared" si="12"/>
        <v>4300.916666666667</v>
      </c>
      <c r="N64">
        <v>304</v>
      </c>
      <c r="O64">
        <f t="shared" si="13"/>
        <v>29959.199999999997</v>
      </c>
      <c r="P64" s="66">
        <f t="shared" si="14"/>
        <v>13.544554455445542</v>
      </c>
      <c r="Q64" s="66">
        <f t="shared" si="15"/>
        <v>7.3830409356725157</v>
      </c>
    </row>
    <row r="65" spans="1:17" ht="86.4" x14ac:dyDescent="0.3">
      <c r="A65" s="55"/>
      <c r="B65" t="s">
        <v>83</v>
      </c>
      <c r="C65" s="31">
        <v>457.2</v>
      </c>
      <c r="D65" s="31">
        <v>100</v>
      </c>
      <c r="E65" s="31">
        <f t="shared" si="8"/>
        <v>45720</v>
      </c>
      <c r="F65" s="101" t="s">
        <v>208</v>
      </c>
      <c r="G65">
        <v>85</v>
      </c>
      <c r="H65">
        <v>2000</v>
      </c>
      <c r="I65">
        <f t="shared" si="9"/>
        <v>215720</v>
      </c>
      <c r="J65" s="45">
        <v>5000</v>
      </c>
      <c r="K65" s="60">
        <f t="shared" si="10"/>
        <v>16572</v>
      </c>
      <c r="L65" s="61">
        <f t="shared" si="11"/>
        <v>43144</v>
      </c>
      <c r="M65" s="62">
        <f t="shared" si="12"/>
        <v>4194.5555555555557</v>
      </c>
      <c r="N65">
        <v>305</v>
      </c>
      <c r="O65">
        <f t="shared" si="13"/>
        <v>30057.75</v>
      </c>
      <c r="P65" s="66">
        <f t="shared" si="14"/>
        <v>13.933687187094382</v>
      </c>
      <c r="Q65" s="66">
        <f t="shared" si="15"/>
        <v>7.1768512280526648</v>
      </c>
    </row>
    <row r="66" spans="1:17" ht="57.6" x14ac:dyDescent="0.3">
      <c r="A66" s="55"/>
      <c r="B66" t="s">
        <v>84</v>
      </c>
      <c r="C66" s="31">
        <v>381.9</v>
      </c>
      <c r="D66" s="31">
        <v>100</v>
      </c>
      <c r="E66" s="31">
        <f t="shared" si="8"/>
        <v>38190</v>
      </c>
      <c r="F66" s="101" t="s">
        <v>215</v>
      </c>
      <c r="G66">
        <v>55</v>
      </c>
      <c r="H66">
        <v>2000</v>
      </c>
      <c r="I66">
        <f t="shared" si="9"/>
        <v>148190</v>
      </c>
      <c r="J66" s="45">
        <v>5000</v>
      </c>
      <c r="K66" s="60">
        <f t="shared" si="10"/>
        <v>9819</v>
      </c>
      <c r="L66" s="61">
        <f t="shared" si="11"/>
        <v>29638</v>
      </c>
      <c r="M66" s="62">
        <f t="shared" si="12"/>
        <v>2881.4722222222222</v>
      </c>
      <c r="N66">
        <v>180</v>
      </c>
      <c r="O66">
        <f t="shared" si="13"/>
        <v>17739</v>
      </c>
      <c r="P66" s="66">
        <f t="shared" si="14"/>
        <v>11.970443349753694</v>
      </c>
      <c r="Q66" s="66">
        <f t="shared" si="15"/>
        <v>8.3539094650205765</v>
      </c>
    </row>
    <row r="67" spans="1:17" ht="57.6" x14ac:dyDescent="0.3">
      <c r="A67" s="55"/>
      <c r="B67" t="s">
        <v>85</v>
      </c>
      <c r="C67" s="31">
        <v>283.2</v>
      </c>
      <c r="D67" s="31">
        <v>100</v>
      </c>
      <c r="E67" s="31">
        <f t="shared" si="8"/>
        <v>28320</v>
      </c>
      <c r="F67" s="101" t="s">
        <v>272</v>
      </c>
      <c r="G67">
        <v>55</v>
      </c>
      <c r="H67">
        <v>2000</v>
      </c>
      <c r="I67">
        <f t="shared" si="9"/>
        <v>138320</v>
      </c>
      <c r="J67" s="45">
        <v>5000</v>
      </c>
      <c r="K67" s="60">
        <f t="shared" si="10"/>
        <v>8832</v>
      </c>
      <c r="L67" s="61">
        <f t="shared" si="11"/>
        <v>27664</v>
      </c>
      <c r="M67" s="62">
        <f t="shared" si="12"/>
        <v>2689.5555555555557</v>
      </c>
      <c r="N67">
        <v>181</v>
      </c>
      <c r="O67">
        <f t="shared" si="13"/>
        <v>17837.55</v>
      </c>
      <c r="P67" s="66">
        <f t="shared" si="14"/>
        <v>12.895857432041641</v>
      </c>
      <c r="Q67" s="66">
        <f t="shared" si="15"/>
        <v>7.7544281585755899</v>
      </c>
    </row>
    <row r="68" spans="1:17" ht="86.4" x14ac:dyDescent="0.3">
      <c r="A68" s="55"/>
      <c r="B68" t="s">
        <v>87</v>
      </c>
      <c r="C68" s="31">
        <v>504.5</v>
      </c>
      <c r="D68" s="31">
        <v>100</v>
      </c>
      <c r="E68" s="31">
        <f t="shared" si="8"/>
        <v>50450</v>
      </c>
      <c r="F68" s="101" t="s">
        <v>208</v>
      </c>
      <c r="G68">
        <v>85</v>
      </c>
      <c r="H68">
        <v>2000</v>
      </c>
      <c r="I68">
        <f t="shared" si="9"/>
        <v>220450</v>
      </c>
      <c r="J68" s="45">
        <v>5000</v>
      </c>
      <c r="K68" s="60">
        <f t="shared" si="10"/>
        <v>17045</v>
      </c>
      <c r="L68" s="61">
        <f t="shared" si="11"/>
        <v>44090</v>
      </c>
      <c r="M68" s="62">
        <f t="shared" si="12"/>
        <v>4286.5277777777774</v>
      </c>
      <c r="N68">
        <v>182</v>
      </c>
      <c r="O68">
        <f t="shared" si="13"/>
        <v>17936.099999999999</v>
      </c>
      <c r="P68" s="66">
        <f t="shared" si="14"/>
        <v>8.1361306418689043</v>
      </c>
      <c r="Q68" s="66">
        <f t="shared" si="15"/>
        <v>12.290854756608182</v>
      </c>
    </row>
    <row r="69" spans="1:17" ht="72" x14ac:dyDescent="0.3">
      <c r="A69" s="52"/>
      <c r="B69" s="84" t="s">
        <v>88</v>
      </c>
      <c r="C69" s="100">
        <v>643.20000000000005</v>
      </c>
      <c r="D69" s="100">
        <v>100</v>
      </c>
      <c r="E69" s="100">
        <f t="shared" si="8"/>
        <v>64320.000000000007</v>
      </c>
      <c r="F69" s="101" t="s">
        <v>204</v>
      </c>
      <c r="G69">
        <v>110</v>
      </c>
      <c r="H69">
        <v>2000</v>
      </c>
      <c r="I69">
        <f t="shared" si="9"/>
        <v>284320</v>
      </c>
      <c r="J69" s="45">
        <v>5000</v>
      </c>
      <c r="K69" s="60">
        <f t="shared" si="10"/>
        <v>23432</v>
      </c>
      <c r="L69" s="61">
        <f t="shared" si="11"/>
        <v>56864</v>
      </c>
      <c r="M69" s="62">
        <f t="shared" si="12"/>
        <v>5528.4444444444443</v>
      </c>
      <c r="N69">
        <v>300</v>
      </c>
      <c r="O69">
        <f t="shared" si="13"/>
        <v>29565</v>
      </c>
      <c r="P69" s="66">
        <f t="shared" si="14"/>
        <v>10.398494653911087</v>
      </c>
      <c r="Q69" s="66">
        <f t="shared" si="15"/>
        <v>9.6167765939455432</v>
      </c>
    </row>
    <row r="70" spans="1:17" ht="86.4" x14ac:dyDescent="0.3">
      <c r="A70" s="55"/>
      <c r="B70" t="s">
        <v>89</v>
      </c>
      <c r="C70" s="31">
        <v>538.79999999999995</v>
      </c>
      <c r="D70" s="31">
        <v>100</v>
      </c>
      <c r="E70" s="31">
        <f t="shared" si="8"/>
        <v>53879.999999999993</v>
      </c>
      <c r="F70" s="101" t="s">
        <v>208</v>
      </c>
      <c r="G70">
        <v>85</v>
      </c>
      <c r="H70">
        <v>2000</v>
      </c>
      <c r="I70">
        <f t="shared" si="9"/>
        <v>223880</v>
      </c>
      <c r="J70" s="45">
        <v>5000</v>
      </c>
      <c r="K70" s="60">
        <f t="shared" si="10"/>
        <v>17388</v>
      </c>
      <c r="L70" s="61">
        <f t="shared" si="11"/>
        <v>44776</v>
      </c>
      <c r="M70" s="62">
        <f t="shared" si="12"/>
        <v>4353.2222222222226</v>
      </c>
      <c r="N70">
        <v>301</v>
      </c>
      <c r="O70">
        <f t="shared" si="13"/>
        <v>29663.55</v>
      </c>
      <c r="P70" s="66">
        <f t="shared" si="14"/>
        <v>13.24975433267822</v>
      </c>
      <c r="Q70" s="66">
        <f t="shared" si="15"/>
        <v>7.547309745462023</v>
      </c>
    </row>
    <row r="71" spans="1:17" ht="57.6" x14ac:dyDescent="0.3">
      <c r="A71" s="55"/>
      <c r="B71" t="s">
        <v>90</v>
      </c>
      <c r="C71" s="31">
        <v>376</v>
      </c>
      <c r="D71" s="31">
        <v>100</v>
      </c>
      <c r="E71" s="31">
        <f t="shared" si="8"/>
        <v>37600</v>
      </c>
      <c r="F71" s="101" t="s">
        <v>215</v>
      </c>
      <c r="G71">
        <v>55</v>
      </c>
      <c r="H71">
        <v>2000</v>
      </c>
      <c r="I71">
        <f t="shared" si="9"/>
        <v>147600</v>
      </c>
      <c r="J71" s="45">
        <v>5000</v>
      </c>
      <c r="K71" s="60">
        <f t="shared" si="10"/>
        <v>9760</v>
      </c>
      <c r="L71" s="61">
        <f t="shared" si="11"/>
        <v>29520</v>
      </c>
      <c r="M71" s="62">
        <f t="shared" si="12"/>
        <v>2870</v>
      </c>
      <c r="N71">
        <v>180</v>
      </c>
      <c r="O71">
        <f t="shared" si="13"/>
        <v>17739</v>
      </c>
      <c r="P71" s="66">
        <f t="shared" si="14"/>
        <v>12.018292682926829</v>
      </c>
      <c r="Q71" s="66">
        <f t="shared" si="15"/>
        <v>8.3206494165398279</v>
      </c>
    </row>
    <row r="72" spans="1:17" ht="57.6" x14ac:dyDescent="0.3">
      <c r="A72" s="55"/>
      <c r="B72" t="s">
        <v>91</v>
      </c>
      <c r="C72" s="31">
        <v>359.3</v>
      </c>
      <c r="D72" s="31">
        <v>100</v>
      </c>
      <c r="E72" s="31">
        <f t="shared" si="8"/>
        <v>35930</v>
      </c>
      <c r="F72" s="101" t="s">
        <v>215</v>
      </c>
      <c r="G72">
        <v>55</v>
      </c>
      <c r="H72">
        <v>2000</v>
      </c>
      <c r="I72">
        <f t="shared" si="9"/>
        <v>145930</v>
      </c>
      <c r="J72" s="45">
        <v>5000</v>
      </c>
      <c r="K72" s="60">
        <f t="shared" si="10"/>
        <v>9593</v>
      </c>
      <c r="L72" s="61">
        <f t="shared" si="11"/>
        <v>29186</v>
      </c>
      <c r="M72" s="62">
        <f t="shared" si="12"/>
        <v>2837.5277777777778</v>
      </c>
      <c r="N72">
        <v>180</v>
      </c>
      <c r="O72">
        <f t="shared" si="13"/>
        <v>17739</v>
      </c>
      <c r="P72" s="66">
        <f t="shared" si="14"/>
        <v>12.155828136777908</v>
      </c>
      <c r="Q72" s="66">
        <f t="shared" si="15"/>
        <v>8.2265065674502509</v>
      </c>
    </row>
    <row r="73" spans="1:17" ht="57.6" x14ac:dyDescent="0.3">
      <c r="A73" s="55"/>
      <c r="B73" t="s">
        <v>92</v>
      </c>
      <c r="C73" s="31">
        <v>382.6</v>
      </c>
      <c r="D73" s="31">
        <v>100</v>
      </c>
      <c r="E73" s="31">
        <f t="shared" si="8"/>
        <v>38260</v>
      </c>
      <c r="F73" s="101" t="s">
        <v>215</v>
      </c>
      <c r="G73">
        <v>55</v>
      </c>
      <c r="H73">
        <v>2000</v>
      </c>
      <c r="I73">
        <f t="shared" si="9"/>
        <v>148260</v>
      </c>
      <c r="J73" s="45">
        <v>5000</v>
      </c>
      <c r="K73" s="60">
        <f t="shared" si="10"/>
        <v>9826</v>
      </c>
      <c r="L73" s="61">
        <f t="shared" si="11"/>
        <v>29652</v>
      </c>
      <c r="M73" s="62">
        <f t="shared" si="12"/>
        <v>2882.8333333333335</v>
      </c>
      <c r="N73">
        <v>180</v>
      </c>
      <c r="O73">
        <f t="shared" si="13"/>
        <v>17739</v>
      </c>
      <c r="P73" s="66">
        <f t="shared" si="14"/>
        <v>11.964791582355321</v>
      </c>
      <c r="Q73" s="66">
        <f t="shared" si="15"/>
        <v>8.3578555724674448</v>
      </c>
    </row>
    <row r="74" spans="1:17" ht="57.6" x14ac:dyDescent="0.3">
      <c r="A74" s="55"/>
      <c r="B74" t="s">
        <v>93</v>
      </c>
      <c r="C74" s="31">
        <v>402</v>
      </c>
      <c r="D74" s="31">
        <v>100</v>
      </c>
      <c r="E74" s="31">
        <f t="shared" si="8"/>
        <v>40200</v>
      </c>
      <c r="F74" s="101" t="s">
        <v>215</v>
      </c>
      <c r="G74">
        <v>55</v>
      </c>
      <c r="H74">
        <v>2000</v>
      </c>
      <c r="I74">
        <f t="shared" si="9"/>
        <v>150200</v>
      </c>
      <c r="J74" s="45">
        <v>5000</v>
      </c>
      <c r="K74" s="60">
        <f t="shared" si="10"/>
        <v>10020</v>
      </c>
      <c r="L74" s="61">
        <f t="shared" si="11"/>
        <v>30040</v>
      </c>
      <c r="M74" s="62">
        <f t="shared" si="12"/>
        <v>2920.5555555555557</v>
      </c>
      <c r="N74">
        <v>180</v>
      </c>
      <c r="O74">
        <f t="shared" si="13"/>
        <v>17739</v>
      </c>
      <c r="P74" s="66">
        <f t="shared" si="14"/>
        <v>11.810252996005326</v>
      </c>
      <c r="Q74" s="66">
        <f t="shared" si="15"/>
        <v>8.4672191217092276</v>
      </c>
    </row>
    <row r="75" spans="1:17" ht="57.6" x14ac:dyDescent="0.3">
      <c r="A75" s="55"/>
      <c r="B75" t="s">
        <v>94</v>
      </c>
      <c r="C75" s="31">
        <v>409.7</v>
      </c>
      <c r="D75" s="31">
        <v>100</v>
      </c>
      <c r="E75" s="31">
        <f t="shared" si="8"/>
        <v>40970</v>
      </c>
      <c r="F75" s="101" t="s">
        <v>215</v>
      </c>
      <c r="G75">
        <v>55</v>
      </c>
      <c r="H75">
        <v>2000</v>
      </c>
      <c r="I75">
        <f t="shared" si="9"/>
        <v>150970</v>
      </c>
      <c r="J75" s="45">
        <v>5000</v>
      </c>
      <c r="K75" s="60">
        <f t="shared" si="10"/>
        <v>10097</v>
      </c>
      <c r="L75" s="61">
        <f t="shared" si="11"/>
        <v>30194</v>
      </c>
      <c r="M75" s="62">
        <f t="shared" si="12"/>
        <v>2935.5277777777778</v>
      </c>
      <c r="N75">
        <v>180</v>
      </c>
      <c r="O75">
        <f t="shared" si="13"/>
        <v>17739</v>
      </c>
      <c r="P75" s="66">
        <f t="shared" si="14"/>
        <v>11.750016559581374</v>
      </c>
      <c r="Q75" s="66">
        <f t="shared" si="15"/>
        <v>8.5106263036247807</v>
      </c>
    </row>
    <row r="76" spans="1:17" ht="57.6" x14ac:dyDescent="0.3">
      <c r="A76" s="55"/>
      <c r="B76" t="s">
        <v>95</v>
      </c>
      <c r="C76" s="31">
        <v>406</v>
      </c>
      <c r="D76" s="31">
        <v>100</v>
      </c>
      <c r="E76" s="31">
        <f t="shared" si="8"/>
        <v>40600</v>
      </c>
      <c r="F76" s="101" t="s">
        <v>215</v>
      </c>
      <c r="G76">
        <v>55</v>
      </c>
      <c r="H76">
        <v>2000</v>
      </c>
      <c r="I76">
        <f t="shared" si="9"/>
        <v>150600</v>
      </c>
      <c r="J76" s="45">
        <v>5000</v>
      </c>
      <c r="K76" s="60">
        <f t="shared" si="10"/>
        <v>10060</v>
      </c>
      <c r="L76" s="61">
        <f t="shared" si="11"/>
        <v>30120</v>
      </c>
      <c r="M76" s="62">
        <f t="shared" si="12"/>
        <v>2928.3333333333335</v>
      </c>
      <c r="N76">
        <v>180</v>
      </c>
      <c r="O76">
        <f t="shared" si="13"/>
        <v>17739</v>
      </c>
      <c r="P76" s="66">
        <f t="shared" si="14"/>
        <v>11.778884462151394</v>
      </c>
      <c r="Q76" s="66">
        <f t="shared" si="15"/>
        <v>8.4897683071199062</v>
      </c>
    </row>
    <row r="77" spans="1:17" ht="57.6" x14ac:dyDescent="0.3">
      <c r="A77" s="55"/>
      <c r="B77" t="s">
        <v>96</v>
      </c>
      <c r="C77" s="31">
        <v>406.3</v>
      </c>
      <c r="D77" s="31">
        <v>100</v>
      </c>
      <c r="E77" s="31">
        <f t="shared" si="8"/>
        <v>40630</v>
      </c>
      <c r="F77" s="101" t="s">
        <v>215</v>
      </c>
      <c r="G77">
        <v>55</v>
      </c>
      <c r="H77">
        <v>2000</v>
      </c>
      <c r="I77">
        <f t="shared" si="9"/>
        <v>150630</v>
      </c>
      <c r="J77" s="45">
        <v>5000</v>
      </c>
      <c r="K77" s="60">
        <f t="shared" si="10"/>
        <v>10063</v>
      </c>
      <c r="L77" s="61">
        <f t="shared" si="11"/>
        <v>30126</v>
      </c>
      <c r="M77" s="62">
        <f t="shared" si="12"/>
        <v>2928.9166666666665</v>
      </c>
      <c r="N77">
        <v>180</v>
      </c>
      <c r="O77">
        <f t="shared" si="13"/>
        <v>17739</v>
      </c>
      <c r="P77" s="66">
        <f t="shared" si="14"/>
        <v>11.776538538139812</v>
      </c>
      <c r="Q77" s="66">
        <f t="shared" si="15"/>
        <v>8.4914594960257066</v>
      </c>
    </row>
    <row r="78" spans="1:17" ht="72" x14ac:dyDescent="0.3">
      <c r="A78" s="52"/>
      <c r="B78" s="84" t="s">
        <v>97</v>
      </c>
      <c r="C78" s="100">
        <v>600.70000000000005</v>
      </c>
      <c r="D78" s="100">
        <v>100</v>
      </c>
      <c r="E78" s="100">
        <f t="shared" si="8"/>
        <v>60070.000000000007</v>
      </c>
      <c r="F78" s="101" t="s">
        <v>204</v>
      </c>
      <c r="G78">
        <v>110</v>
      </c>
      <c r="H78">
        <v>2000</v>
      </c>
      <c r="I78">
        <f t="shared" si="9"/>
        <v>280070</v>
      </c>
      <c r="J78" s="45">
        <v>5000</v>
      </c>
      <c r="K78" s="60">
        <f t="shared" si="10"/>
        <v>23007</v>
      </c>
      <c r="L78" s="61">
        <f t="shared" si="11"/>
        <v>56014</v>
      </c>
      <c r="M78" s="62">
        <f t="shared" si="12"/>
        <v>5445.8055555555557</v>
      </c>
      <c r="N78">
        <v>300</v>
      </c>
      <c r="O78">
        <f t="shared" si="13"/>
        <v>29565</v>
      </c>
      <c r="P78" s="66">
        <f t="shared" si="14"/>
        <v>10.556289499053809</v>
      </c>
      <c r="Q78" s="66">
        <f t="shared" si="15"/>
        <v>9.473025536952477</v>
      </c>
    </row>
    <row r="79" spans="1:17" ht="57.6" x14ac:dyDescent="0.3">
      <c r="A79" s="55"/>
      <c r="B79" t="s">
        <v>98</v>
      </c>
      <c r="C79" s="31">
        <v>433.3</v>
      </c>
      <c r="D79" s="31">
        <v>100</v>
      </c>
      <c r="E79" s="31">
        <f t="shared" si="8"/>
        <v>43330</v>
      </c>
      <c r="F79" s="101" t="s">
        <v>215</v>
      </c>
      <c r="G79">
        <v>55</v>
      </c>
      <c r="H79">
        <v>2000</v>
      </c>
      <c r="I79">
        <f t="shared" si="9"/>
        <v>153330</v>
      </c>
      <c r="J79" s="45">
        <v>5000</v>
      </c>
      <c r="K79" s="60">
        <f t="shared" si="10"/>
        <v>10333</v>
      </c>
      <c r="L79" s="61">
        <f t="shared" si="11"/>
        <v>30666</v>
      </c>
      <c r="M79" s="62">
        <f t="shared" si="12"/>
        <v>2981.4166666666665</v>
      </c>
      <c r="N79">
        <v>180</v>
      </c>
      <c r="O79">
        <f t="shared" si="13"/>
        <v>17739</v>
      </c>
      <c r="P79" s="66">
        <f t="shared" si="14"/>
        <v>11.569164547055371</v>
      </c>
      <c r="Q79" s="66">
        <f t="shared" si="15"/>
        <v>8.6436664975477768</v>
      </c>
    </row>
    <row r="80" spans="1:17" ht="57.6" x14ac:dyDescent="0.3">
      <c r="A80" s="55"/>
      <c r="B80" t="s">
        <v>99</v>
      </c>
      <c r="C80" s="31">
        <v>426.8</v>
      </c>
      <c r="D80" s="31">
        <v>100</v>
      </c>
      <c r="E80" s="31">
        <f t="shared" si="8"/>
        <v>42680</v>
      </c>
      <c r="F80" s="101" t="s">
        <v>215</v>
      </c>
      <c r="G80">
        <v>55</v>
      </c>
      <c r="H80">
        <v>2000</v>
      </c>
      <c r="I80">
        <f t="shared" si="9"/>
        <v>152680</v>
      </c>
      <c r="J80" s="45">
        <v>5000</v>
      </c>
      <c r="K80" s="60">
        <f t="shared" si="10"/>
        <v>10268</v>
      </c>
      <c r="L80" s="61">
        <f t="shared" si="11"/>
        <v>30536</v>
      </c>
      <c r="M80" s="62">
        <f t="shared" si="12"/>
        <v>2968.7777777777778</v>
      </c>
      <c r="N80">
        <v>180</v>
      </c>
      <c r="O80">
        <f t="shared" si="13"/>
        <v>17739</v>
      </c>
      <c r="P80" s="66">
        <f t="shared" si="14"/>
        <v>11.618417605449306</v>
      </c>
      <c r="Q80" s="66">
        <f t="shared" si="15"/>
        <v>8.6070240712554256</v>
      </c>
    </row>
    <row r="81" spans="1:17" ht="57.6" x14ac:dyDescent="0.3">
      <c r="A81" s="55"/>
      <c r="B81" t="s">
        <v>100</v>
      </c>
      <c r="C81" s="31">
        <v>426.8</v>
      </c>
      <c r="D81" s="31">
        <v>100</v>
      </c>
      <c r="E81" s="31">
        <f t="shared" si="8"/>
        <v>42680</v>
      </c>
      <c r="F81" s="101" t="s">
        <v>215</v>
      </c>
      <c r="G81">
        <v>55</v>
      </c>
      <c r="H81">
        <v>2000</v>
      </c>
      <c r="I81">
        <f t="shared" si="9"/>
        <v>152680</v>
      </c>
      <c r="J81" s="45">
        <v>5000</v>
      </c>
      <c r="K81" s="60">
        <f t="shared" si="10"/>
        <v>10268</v>
      </c>
      <c r="L81" s="61">
        <f t="shared" si="11"/>
        <v>30536</v>
      </c>
      <c r="M81" s="62">
        <f t="shared" si="12"/>
        <v>2968.7777777777778</v>
      </c>
      <c r="N81">
        <v>180</v>
      </c>
      <c r="O81">
        <f t="shared" si="13"/>
        <v>17739</v>
      </c>
      <c r="P81" s="66">
        <f t="shared" si="14"/>
        <v>11.618417605449306</v>
      </c>
      <c r="Q81" s="66">
        <f t="shared" si="15"/>
        <v>8.6070240712554256</v>
      </c>
    </row>
    <row r="82" spans="1:17" ht="57.6" x14ac:dyDescent="0.3">
      <c r="A82" s="55"/>
      <c r="B82" t="s">
        <v>101</v>
      </c>
      <c r="C82" s="31">
        <v>426.8</v>
      </c>
      <c r="D82" s="31">
        <v>100</v>
      </c>
      <c r="E82" s="31">
        <f t="shared" si="8"/>
        <v>42680</v>
      </c>
      <c r="F82" s="101" t="s">
        <v>215</v>
      </c>
      <c r="G82">
        <v>55</v>
      </c>
      <c r="H82">
        <v>2000</v>
      </c>
      <c r="I82">
        <f t="shared" si="9"/>
        <v>152680</v>
      </c>
      <c r="J82" s="45">
        <v>5000</v>
      </c>
      <c r="K82" s="60">
        <f t="shared" si="10"/>
        <v>10268</v>
      </c>
      <c r="L82" s="61">
        <f t="shared" si="11"/>
        <v>30536</v>
      </c>
      <c r="M82" s="62">
        <f t="shared" si="12"/>
        <v>2968.7777777777778</v>
      </c>
      <c r="N82">
        <v>180</v>
      </c>
      <c r="O82">
        <f t="shared" si="13"/>
        <v>17739</v>
      </c>
      <c r="P82" s="66">
        <f t="shared" si="14"/>
        <v>11.618417605449306</v>
      </c>
      <c r="Q82" s="66">
        <f t="shared" si="15"/>
        <v>8.6070240712554256</v>
      </c>
    </row>
    <row r="83" spans="1:17" ht="57.6" x14ac:dyDescent="0.3">
      <c r="A83" s="55"/>
      <c r="B83" t="s">
        <v>102</v>
      </c>
      <c r="C83" s="31">
        <v>426.8</v>
      </c>
      <c r="D83" s="31">
        <v>100</v>
      </c>
      <c r="E83" s="31">
        <f t="shared" si="8"/>
        <v>42680</v>
      </c>
      <c r="F83" s="101" t="s">
        <v>215</v>
      </c>
      <c r="G83">
        <v>55</v>
      </c>
      <c r="H83">
        <v>2000</v>
      </c>
      <c r="I83">
        <f t="shared" si="9"/>
        <v>152680</v>
      </c>
      <c r="J83" s="45">
        <v>5000</v>
      </c>
      <c r="K83" s="60">
        <f t="shared" si="10"/>
        <v>10268</v>
      </c>
      <c r="L83" s="61">
        <f t="shared" si="11"/>
        <v>30536</v>
      </c>
      <c r="M83" s="62">
        <f t="shared" si="12"/>
        <v>2968.7777777777778</v>
      </c>
      <c r="N83">
        <v>180</v>
      </c>
      <c r="O83">
        <f t="shared" si="13"/>
        <v>17739</v>
      </c>
      <c r="P83" s="66">
        <f t="shared" si="14"/>
        <v>11.618417605449306</v>
      </c>
      <c r="Q83" s="66">
        <f t="shared" si="15"/>
        <v>8.6070240712554256</v>
      </c>
    </row>
    <row r="84" spans="1:17" ht="57.6" x14ac:dyDescent="0.3">
      <c r="A84" s="55"/>
      <c r="B84" t="s">
        <v>103</v>
      </c>
      <c r="C84" s="31">
        <v>426.8</v>
      </c>
      <c r="D84" s="31">
        <v>100</v>
      </c>
      <c r="E84" s="31">
        <f t="shared" si="8"/>
        <v>42680</v>
      </c>
      <c r="F84" s="101" t="s">
        <v>215</v>
      </c>
      <c r="G84">
        <v>55</v>
      </c>
      <c r="H84">
        <v>2000</v>
      </c>
      <c r="I84">
        <f t="shared" si="9"/>
        <v>152680</v>
      </c>
      <c r="J84" s="45">
        <v>5000</v>
      </c>
      <c r="K84" s="60">
        <f t="shared" si="10"/>
        <v>10268</v>
      </c>
      <c r="L84" s="61">
        <f t="shared" si="11"/>
        <v>30536</v>
      </c>
      <c r="M84" s="62">
        <f t="shared" si="12"/>
        <v>2968.7777777777778</v>
      </c>
      <c r="N84">
        <v>180</v>
      </c>
      <c r="O84">
        <f t="shared" si="13"/>
        <v>17739</v>
      </c>
      <c r="P84" s="66">
        <f t="shared" si="14"/>
        <v>11.618417605449306</v>
      </c>
      <c r="Q84" s="66">
        <f t="shared" si="15"/>
        <v>8.6070240712554256</v>
      </c>
    </row>
    <row r="85" spans="1:17" ht="57.6" x14ac:dyDescent="0.3">
      <c r="A85" s="55"/>
      <c r="B85" t="s">
        <v>104</v>
      </c>
      <c r="C85" s="31">
        <v>426.8</v>
      </c>
      <c r="D85" s="31">
        <v>100</v>
      </c>
      <c r="E85" s="31">
        <f t="shared" si="8"/>
        <v>42680</v>
      </c>
      <c r="F85" s="101" t="s">
        <v>215</v>
      </c>
      <c r="G85">
        <v>55</v>
      </c>
      <c r="H85">
        <v>2000</v>
      </c>
      <c r="I85">
        <f t="shared" si="9"/>
        <v>152680</v>
      </c>
      <c r="J85" s="45">
        <v>5000</v>
      </c>
      <c r="K85" s="60">
        <f t="shared" si="10"/>
        <v>10268</v>
      </c>
      <c r="L85" s="61">
        <f t="shared" si="11"/>
        <v>30536</v>
      </c>
      <c r="M85" s="62">
        <f t="shared" si="12"/>
        <v>2968.7777777777778</v>
      </c>
      <c r="N85">
        <v>180</v>
      </c>
      <c r="O85">
        <f t="shared" si="13"/>
        <v>17739</v>
      </c>
      <c r="P85" s="66">
        <f t="shared" si="14"/>
        <v>11.618417605449306</v>
      </c>
      <c r="Q85" s="66">
        <f t="shared" si="15"/>
        <v>8.6070240712554256</v>
      </c>
    </row>
    <row r="86" spans="1:17" ht="57.6" x14ac:dyDescent="0.3">
      <c r="A86" s="55"/>
      <c r="B86" t="s">
        <v>105</v>
      </c>
      <c r="C86" s="31">
        <v>426.8</v>
      </c>
      <c r="D86" s="31">
        <v>100</v>
      </c>
      <c r="E86" s="31">
        <f t="shared" si="8"/>
        <v>42680</v>
      </c>
      <c r="F86" s="101" t="s">
        <v>215</v>
      </c>
      <c r="G86">
        <v>55</v>
      </c>
      <c r="H86">
        <v>2000</v>
      </c>
      <c r="I86">
        <f t="shared" si="9"/>
        <v>152680</v>
      </c>
      <c r="J86" s="45">
        <v>5000</v>
      </c>
      <c r="K86" s="60">
        <f t="shared" si="10"/>
        <v>10268</v>
      </c>
      <c r="L86" s="61">
        <f t="shared" si="11"/>
        <v>30536</v>
      </c>
      <c r="M86" s="62">
        <f t="shared" si="12"/>
        <v>2968.7777777777778</v>
      </c>
      <c r="N86">
        <v>180</v>
      </c>
      <c r="O86">
        <f t="shared" si="13"/>
        <v>17739</v>
      </c>
      <c r="P86" s="66">
        <f t="shared" si="14"/>
        <v>11.618417605449306</v>
      </c>
      <c r="Q86" s="66">
        <f t="shared" si="15"/>
        <v>8.6070240712554256</v>
      </c>
    </row>
    <row r="87" spans="1:17" ht="57.6" x14ac:dyDescent="0.3">
      <c r="A87" s="55"/>
      <c r="B87" t="s">
        <v>106</v>
      </c>
      <c r="C87" s="31">
        <v>426.8</v>
      </c>
      <c r="D87" s="31">
        <v>100</v>
      </c>
      <c r="E87" s="31">
        <f t="shared" si="8"/>
        <v>42680</v>
      </c>
      <c r="F87" s="101" t="s">
        <v>215</v>
      </c>
      <c r="G87">
        <v>55</v>
      </c>
      <c r="H87">
        <v>2000</v>
      </c>
      <c r="I87">
        <f t="shared" si="9"/>
        <v>152680</v>
      </c>
      <c r="J87" s="45">
        <v>5000</v>
      </c>
      <c r="K87" s="60">
        <f t="shared" si="10"/>
        <v>10268</v>
      </c>
      <c r="L87" s="61">
        <f t="shared" si="11"/>
        <v>30536</v>
      </c>
      <c r="M87" s="62">
        <f t="shared" si="12"/>
        <v>2968.7777777777778</v>
      </c>
      <c r="N87">
        <v>180</v>
      </c>
      <c r="O87">
        <f t="shared" si="13"/>
        <v>17739</v>
      </c>
      <c r="P87" s="66">
        <f t="shared" si="14"/>
        <v>11.618417605449306</v>
      </c>
      <c r="Q87" s="66">
        <f t="shared" si="15"/>
        <v>8.6070240712554256</v>
      </c>
    </row>
    <row r="88" spans="1:17" ht="57.6" x14ac:dyDescent="0.3">
      <c r="A88" s="55"/>
      <c r="B88" t="s">
        <v>107</v>
      </c>
      <c r="C88" s="31">
        <v>426.8</v>
      </c>
      <c r="D88" s="31">
        <v>100</v>
      </c>
      <c r="E88" s="31">
        <f t="shared" si="8"/>
        <v>42680</v>
      </c>
      <c r="F88" s="101" t="s">
        <v>215</v>
      </c>
      <c r="G88">
        <v>55</v>
      </c>
      <c r="H88">
        <v>2000</v>
      </c>
      <c r="I88">
        <f t="shared" si="9"/>
        <v>152680</v>
      </c>
      <c r="J88" s="45">
        <v>5000</v>
      </c>
      <c r="K88" s="60">
        <f t="shared" si="10"/>
        <v>10268</v>
      </c>
      <c r="L88" s="61">
        <f t="shared" si="11"/>
        <v>30536</v>
      </c>
      <c r="M88" s="62">
        <f t="shared" si="12"/>
        <v>2968.7777777777778</v>
      </c>
      <c r="N88">
        <v>180</v>
      </c>
      <c r="O88">
        <f t="shared" si="13"/>
        <v>17739</v>
      </c>
      <c r="P88" s="66">
        <f t="shared" si="14"/>
        <v>11.618417605449306</v>
      </c>
      <c r="Q88" s="66">
        <f t="shared" si="15"/>
        <v>8.6070240712554256</v>
      </c>
    </row>
    <row r="89" spans="1:17" ht="57.6" x14ac:dyDescent="0.3">
      <c r="A89" s="55"/>
      <c r="B89" t="s">
        <v>108</v>
      </c>
      <c r="C89" s="31">
        <v>426.8</v>
      </c>
      <c r="D89" s="31">
        <v>100</v>
      </c>
      <c r="E89" s="31">
        <f t="shared" si="8"/>
        <v>42680</v>
      </c>
      <c r="F89" s="101" t="s">
        <v>215</v>
      </c>
      <c r="G89">
        <v>55</v>
      </c>
      <c r="H89">
        <v>2000</v>
      </c>
      <c r="I89">
        <f t="shared" si="9"/>
        <v>152680</v>
      </c>
      <c r="J89" s="45">
        <v>5000</v>
      </c>
      <c r="K89" s="60">
        <f t="shared" si="10"/>
        <v>10268</v>
      </c>
      <c r="L89" s="61">
        <f t="shared" si="11"/>
        <v>30536</v>
      </c>
      <c r="M89" s="62">
        <f t="shared" si="12"/>
        <v>2968.7777777777778</v>
      </c>
      <c r="N89">
        <v>180</v>
      </c>
      <c r="O89">
        <f t="shared" si="13"/>
        <v>17739</v>
      </c>
      <c r="P89" s="66">
        <f t="shared" si="14"/>
        <v>11.618417605449306</v>
      </c>
      <c r="Q89" s="66">
        <f t="shared" si="15"/>
        <v>8.6070240712554256</v>
      </c>
    </row>
    <row r="90" spans="1:17" ht="57.6" x14ac:dyDescent="0.3">
      <c r="A90" s="55"/>
      <c r="B90" t="s">
        <v>109</v>
      </c>
      <c r="C90" s="31">
        <v>412.6</v>
      </c>
      <c r="D90" s="31">
        <v>100</v>
      </c>
      <c r="E90" s="31">
        <f t="shared" si="8"/>
        <v>41260</v>
      </c>
      <c r="F90" s="101" t="s">
        <v>215</v>
      </c>
      <c r="G90">
        <v>55</v>
      </c>
      <c r="H90">
        <v>2000</v>
      </c>
      <c r="I90">
        <f t="shared" si="9"/>
        <v>151260</v>
      </c>
      <c r="J90" s="45">
        <v>5000</v>
      </c>
      <c r="K90" s="60">
        <f t="shared" si="10"/>
        <v>10126</v>
      </c>
      <c r="L90" s="61">
        <f t="shared" si="11"/>
        <v>30252</v>
      </c>
      <c r="M90" s="62">
        <f t="shared" si="12"/>
        <v>2941.1666666666665</v>
      </c>
      <c r="N90">
        <v>180</v>
      </c>
      <c r="O90">
        <f t="shared" si="13"/>
        <v>17739</v>
      </c>
      <c r="P90" s="66">
        <f t="shared" si="14"/>
        <v>11.727489091630305</v>
      </c>
      <c r="Q90" s="66">
        <f t="shared" si="15"/>
        <v>8.526974463047523</v>
      </c>
    </row>
    <row r="91" spans="1:17" ht="86.4" x14ac:dyDescent="0.3">
      <c r="A91" s="55"/>
      <c r="B91" t="s">
        <v>110</v>
      </c>
      <c r="C91" s="31">
        <v>539.70000000000005</v>
      </c>
      <c r="D91" s="31">
        <v>100</v>
      </c>
      <c r="E91" s="31">
        <f t="shared" si="8"/>
        <v>53970.000000000007</v>
      </c>
      <c r="F91" s="101" t="s">
        <v>208</v>
      </c>
      <c r="G91">
        <v>85</v>
      </c>
      <c r="H91">
        <v>2000</v>
      </c>
      <c r="I91">
        <f t="shared" si="9"/>
        <v>223970</v>
      </c>
      <c r="J91" s="45">
        <v>5000</v>
      </c>
      <c r="K91" s="60">
        <f t="shared" si="10"/>
        <v>17397</v>
      </c>
      <c r="L91" s="61">
        <f t="shared" si="11"/>
        <v>44794</v>
      </c>
      <c r="M91" s="62">
        <f t="shared" si="12"/>
        <v>4354.9722222222226</v>
      </c>
      <c r="N91">
        <v>181</v>
      </c>
      <c r="O91">
        <f t="shared" si="13"/>
        <v>17837.55</v>
      </c>
      <c r="P91" s="66">
        <f t="shared" si="14"/>
        <v>7.9642586060633107</v>
      </c>
      <c r="Q91" s="66">
        <f t="shared" si="15"/>
        <v>12.556096549133709</v>
      </c>
    </row>
    <row r="92" spans="1:17" ht="86.4" x14ac:dyDescent="0.3">
      <c r="A92" s="55"/>
      <c r="B92" t="s">
        <v>111</v>
      </c>
      <c r="C92" s="31">
        <v>612.6</v>
      </c>
      <c r="D92" s="31">
        <v>100</v>
      </c>
      <c r="E92" s="31">
        <f t="shared" si="8"/>
        <v>61260</v>
      </c>
      <c r="F92" s="101" t="s">
        <v>208</v>
      </c>
      <c r="G92">
        <v>85</v>
      </c>
      <c r="H92">
        <v>2000</v>
      </c>
      <c r="I92">
        <f t="shared" si="9"/>
        <v>231260</v>
      </c>
      <c r="J92" s="45">
        <v>5000</v>
      </c>
      <c r="K92" s="60">
        <f t="shared" si="10"/>
        <v>18126</v>
      </c>
      <c r="L92" s="61">
        <f t="shared" si="11"/>
        <v>46252</v>
      </c>
      <c r="M92" s="62">
        <f t="shared" si="12"/>
        <v>4496.7222222222226</v>
      </c>
      <c r="N92">
        <v>182</v>
      </c>
      <c r="O92">
        <f t="shared" si="13"/>
        <v>17936.099999999999</v>
      </c>
      <c r="P92" s="66">
        <f t="shared" si="14"/>
        <v>7.7558159647150386</v>
      </c>
      <c r="Q92" s="66">
        <f t="shared" si="15"/>
        <v>12.893549879851252</v>
      </c>
    </row>
    <row r="93" spans="1:17" ht="57.6" x14ac:dyDescent="0.3">
      <c r="A93" s="55"/>
      <c r="B93" t="s">
        <v>112</v>
      </c>
      <c r="C93" s="31">
        <v>422.6</v>
      </c>
      <c r="D93" s="31">
        <v>100</v>
      </c>
      <c r="E93" s="31">
        <f t="shared" si="8"/>
        <v>42260</v>
      </c>
      <c r="F93" s="101" t="s">
        <v>215</v>
      </c>
      <c r="G93">
        <v>55</v>
      </c>
      <c r="H93">
        <v>2000</v>
      </c>
      <c r="I93">
        <f t="shared" si="9"/>
        <v>152260</v>
      </c>
      <c r="J93" s="45">
        <v>5000</v>
      </c>
      <c r="K93" s="60">
        <f t="shared" si="10"/>
        <v>10226</v>
      </c>
      <c r="L93" s="61">
        <f t="shared" si="11"/>
        <v>30452</v>
      </c>
      <c r="M93" s="62">
        <f t="shared" si="12"/>
        <v>2960.6111111111113</v>
      </c>
      <c r="N93">
        <v>183</v>
      </c>
      <c r="O93">
        <f t="shared" si="13"/>
        <v>18034.649999999998</v>
      </c>
      <c r="P93" s="66">
        <f t="shared" si="14"/>
        <v>11.84464074609221</v>
      </c>
      <c r="Q93" s="66">
        <f t="shared" si="15"/>
        <v>8.4426368130238192</v>
      </c>
    </row>
    <row r="94" spans="1:17" ht="86.4" x14ac:dyDescent="0.3">
      <c r="A94" s="55"/>
      <c r="B94" t="s">
        <v>113</v>
      </c>
      <c r="C94" s="31">
        <v>487.1</v>
      </c>
      <c r="D94" s="31">
        <v>100</v>
      </c>
      <c r="E94" s="31">
        <f t="shared" si="8"/>
        <v>48710</v>
      </c>
      <c r="F94" s="101" t="s">
        <v>208</v>
      </c>
      <c r="G94">
        <v>85</v>
      </c>
      <c r="H94">
        <v>2000</v>
      </c>
      <c r="I94">
        <f t="shared" si="9"/>
        <v>218710</v>
      </c>
      <c r="J94" s="45">
        <v>5000</v>
      </c>
      <c r="K94" s="60">
        <f t="shared" si="10"/>
        <v>16871</v>
      </c>
      <c r="L94" s="61">
        <f t="shared" si="11"/>
        <v>43742</v>
      </c>
      <c r="M94" s="62">
        <f t="shared" si="12"/>
        <v>4252.6944444444443</v>
      </c>
      <c r="N94">
        <v>184</v>
      </c>
      <c r="O94">
        <f t="shared" si="13"/>
        <v>18133.2</v>
      </c>
      <c r="P94" s="66">
        <f t="shared" si="14"/>
        <v>8.2909789218599972</v>
      </c>
      <c r="Q94" s="66">
        <f t="shared" si="15"/>
        <v>12.061301921337657</v>
      </c>
    </row>
    <row r="95" spans="1:17" ht="57.6" x14ac:dyDescent="0.3">
      <c r="A95" s="55"/>
      <c r="B95" t="s">
        <v>114</v>
      </c>
      <c r="C95" s="31">
        <v>436.5</v>
      </c>
      <c r="D95" s="31">
        <v>100</v>
      </c>
      <c r="E95" s="31">
        <f t="shared" si="8"/>
        <v>43650</v>
      </c>
      <c r="F95" s="101" t="s">
        <v>215</v>
      </c>
      <c r="G95">
        <v>55</v>
      </c>
      <c r="H95">
        <v>2000</v>
      </c>
      <c r="I95">
        <f t="shared" si="9"/>
        <v>153650</v>
      </c>
      <c r="J95" s="45">
        <v>5000</v>
      </c>
      <c r="K95" s="60">
        <f t="shared" si="10"/>
        <v>10365</v>
      </c>
      <c r="L95" s="61">
        <f t="shared" si="11"/>
        <v>30730</v>
      </c>
      <c r="M95" s="62">
        <f t="shared" si="12"/>
        <v>2987.6388888888887</v>
      </c>
      <c r="N95">
        <v>180</v>
      </c>
      <c r="O95">
        <f t="shared" si="13"/>
        <v>17739</v>
      </c>
      <c r="P95" s="66">
        <f t="shared" si="14"/>
        <v>11.545069964204361</v>
      </c>
      <c r="Q95" s="66">
        <f t="shared" si="15"/>
        <v>8.6617058458763179</v>
      </c>
    </row>
    <row r="96" spans="1:17" ht="72" x14ac:dyDescent="0.3">
      <c r="A96" s="52"/>
      <c r="B96" s="84" t="s">
        <v>115</v>
      </c>
      <c r="C96" s="100">
        <v>646.29999999999995</v>
      </c>
      <c r="D96" s="100">
        <v>100</v>
      </c>
      <c r="E96" s="100">
        <f t="shared" si="8"/>
        <v>64629.999999999993</v>
      </c>
      <c r="F96" s="101" t="s">
        <v>204</v>
      </c>
      <c r="G96">
        <v>110</v>
      </c>
      <c r="H96">
        <v>2000</v>
      </c>
      <c r="I96">
        <f t="shared" si="9"/>
        <v>284630</v>
      </c>
      <c r="J96" s="45">
        <v>5000</v>
      </c>
      <c r="K96" s="60">
        <f t="shared" si="10"/>
        <v>23463</v>
      </c>
      <c r="L96" s="61">
        <f t="shared" si="11"/>
        <v>56926</v>
      </c>
      <c r="M96" s="62">
        <f t="shared" si="12"/>
        <v>5534.4722222222226</v>
      </c>
      <c r="N96">
        <v>300</v>
      </c>
      <c r="O96">
        <f t="shared" si="13"/>
        <v>29565</v>
      </c>
      <c r="P96" s="66">
        <f t="shared" si="14"/>
        <v>10.387169307522045</v>
      </c>
      <c r="Q96" s="66">
        <f t="shared" si="15"/>
        <v>9.6272619651615088</v>
      </c>
    </row>
    <row r="97" spans="1:17" ht="57.6" x14ac:dyDescent="0.3">
      <c r="A97" s="55"/>
      <c r="B97" t="s">
        <v>116</v>
      </c>
      <c r="C97" s="31">
        <v>400.2</v>
      </c>
      <c r="D97" s="31">
        <v>100</v>
      </c>
      <c r="E97" s="31">
        <f t="shared" si="8"/>
        <v>40020</v>
      </c>
      <c r="F97" s="101" t="s">
        <v>215</v>
      </c>
      <c r="G97">
        <v>55</v>
      </c>
      <c r="H97">
        <v>2000</v>
      </c>
      <c r="I97">
        <f t="shared" si="9"/>
        <v>150020</v>
      </c>
      <c r="J97" s="45">
        <v>5000</v>
      </c>
      <c r="K97" s="60">
        <f t="shared" si="10"/>
        <v>10002</v>
      </c>
      <c r="L97" s="61">
        <f t="shared" si="11"/>
        <v>30004</v>
      </c>
      <c r="M97" s="62">
        <f t="shared" si="12"/>
        <v>2917.0555555555557</v>
      </c>
      <c r="N97">
        <v>180</v>
      </c>
      <c r="O97">
        <f t="shared" si="13"/>
        <v>17739</v>
      </c>
      <c r="P97" s="66">
        <f t="shared" si="14"/>
        <v>11.824423410211972</v>
      </c>
      <c r="Q97" s="66">
        <f t="shared" si="15"/>
        <v>8.4570719882744232</v>
      </c>
    </row>
    <row r="98" spans="1:17" x14ac:dyDescent="0.3">
      <c r="A98" s="65"/>
      <c r="C98" s="102"/>
      <c r="E98" s="103"/>
      <c r="F98" s="101"/>
      <c r="I98" s="103"/>
      <c r="J98" s="45"/>
      <c r="K98" s="60"/>
      <c r="L98" s="61"/>
      <c r="M98" s="62"/>
      <c r="P98" s="66"/>
      <c r="Q98" s="66"/>
    </row>
    <row r="99" spans="1:17" x14ac:dyDescent="0.3">
      <c r="A99" s="67"/>
      <c r="B99" s="67"/>
      <c r="C99" s="102"/>
      <c r="F99" s="101"/>
    </row>
    <row r="100" spans="1:17" ht="86.4" x14ac:dyDescent="0.3">
      <c r="A100" s="48"/>
      <c r="B100" s="1" t="s">
        <v>0</v>
      </c>
      <c r="C100" s="1" t="s">
        <v>1</v>
      </c>
      <c r="D100" s="2" t="s">
        <v>2</v>
      </c>
      <c r="E100" s="2" t="s">
        <v>3</v>
      </c>
      <c r="F100" s="3" t="s">
        <v>4</v>
      </c>
      <c r="G100" s="1" t="s">
        <v>5</v>
      </c>
      <c r="H100" s="4" t="s">
        <v>6</v>
      </c>
      <c r="I100" s="5" t="s">
        <v>7</v>
      </c>
      <c r="J100" s="2" t="s">
        <v>8</v>
      </c>
      <c r="K100" s="6" t="s">
        <v>9</v>
      </c>
      <c r="L100" s="7" t="s">
        <v>10</v>
      </c>
      <c r="M100" s="8" t="s">
        <v>11</v>
      </c>
      <c r="N100" s="1" t="s">
        <v>199</v>
      </c>
      <c r="O100" s="1" t="s">
        <v>201</v>
      </c>
      <c r="P100" s="10" t="s">
        <v>15</v>
      </c>
      <c r="Q100" s="10" t="s">
        <v>202</v>
      </c>
    </row>
    <row r="101" spans="1:17" ht="57.6" x14ac:dyDescent="0.3">
      <c r="A101" s="65"/>
      <c r="B101" t="s">
        <v>118</v>
      </c>
      <c r="C101">
        <v>384</v>
      </c>
      <c r="D101">
        <v>80</v>
      </c>
      <c r="E101">
        <f t="shared" ref="E101:E148" si="16">D101*C101</f>
        <v>30720</v>
      </c>
      <c r="F101" s="101" t="s">
        <v>215</v>
      </c>
      <c r="G101">
        <v>55</v>
      </c>
      <c r="H101">
        <v>2000</v>
      </c>
      <c r="I101">
        <f t="shared" ref="I101:I148" si="17">H101*G101+E101</f>
        <v>140720</v>
      </c>
      <c r="J101" s="45">
        <v>5000</v>
      </c>
      <c r="K101" s="60">
        <f t="shared" ref="K101:K148" si="18">(I101*0.1)-J101</f>
        <v>9072</v>
      </c>
      <c r="L101" s="61">
        <f t="shared" ref="L101:L148" si="19">I101*0.2</f>
        <v>28144</v>
      </c>
      <c r="M101" s="62">
        <f t="shared" ref="M101:M148" si="20">(I101-J101-K101-L101)/36</f>
        <v>2736.2222222222222</v>
      </c>
      <c r="N101">
        <v>180</v>
      </c>
      <c r="O101">
        <f t="shared" ref="O101:O148" si="21">(N101*365*0.45)*0.6</f>
        <v>17739</v>
      </c>
      <c r="P101" s="66">
        <f t="shared" ref="P101:P148" si="22">(O101/I101)*100</f>
        <v>12.605884025014213</v>
      </c>
      <c r="Q101" s="66">
        <f t="shared" ref="Q101:Q148" si="23">I101/O101</f>
        <v>7.9328034274761823</v>
      </c>
    </row>
    <row r="102" spans="1:17" ht="28.8" x14ac:dyDescent="0.3">
      <c r="A102" s="65"/>
      <c r="B102" t="s">
        <v>119</v>
      </c>
      <c r="C102">
        <v>509.5</v>
      </c>
      <c r="D102">
        <v>80</v>
      </c>
      <c r="E102">
        <f t="shared" si="16"/>
        <v>40760</v>
      </c>
      <c r="F102" s="101" t="s">
        <v>308</v>
      </c>
      <c r="G102">
        <v>85</v>
      </c>
      <c r="H102">
        <v>2000</v>
      </c>
      <c r="I102">
        <f t="shared" si="17"/>
        <v>210760</v>
      </c>
      <c r="J102" s="45">
        <v>5000</v>
      </c>
      <c r="K102" s="60">
        <f t="shared" si="18"/>
        <v>16076</v>
      </c>
      <c r="L102" s="61">
        <f t="shared" si="19"/>
        <v>42152</v>
      </c>
      <c r="M102" s="62">
        <f t="shared" si="20"/>
        <v>4098.1111111111113</v>
      </c>
      <c r="N102">
        <v>220</v>
      </c>
      <c r="O102">
        <f t="shared" si="21"/>
        <v>21681</v>
      </c>
      <c r="P102" s="66">
        <f t="shared" si="22"/>
        <v>10.28705636743215</v>
      </c>
      <c r="Q102" s="66">
        <f t="shared" si="23"/>
        <v>9.7209538305428715</v>
      </c>
    </row>
    <row r="103" spans="1:17" ht="28.8" x14ac:dyDescent="0.3">
      <c r="A103" s="65"/>
      <c r="B103" t="s">
        <v>120</v>
      </c>
      <c r="C103">
        <v>599.20000000000005</v>
      </c>
      <c r="D103">
        <v>80</v>
      </c>
      <c r="E103">
        <f t="shared" si="16"/>
        <v>47936</v>
      </c>
      <c r="F103" s="101" t="s">
        <v>308</v>
      </c>
      <c r="G103">
        <v>85</v>
      </c>
      <c r="H103">
        <v>2000</v>
      </c>
      <c r="I103">
        <f t="shared" si="17"/>
        <v>217936</v>
      </c>
      <c r="J103" s="45">
        <v>5000</v>
      </c>
      <c r="K103" s="60">
        <f t="shared" si="18"/>
        <v>16793.600000000002</v>
      </c>
      <c r="L103" s="61">
        <f t="shared" si="19"/>
        <v>43587.200000000004</v>
      </c>
      <c r="M103" s="62">
        <f t="shared" si="20"/>
        <v>4237.6444444444442</v>
      </c>
      <c r="N103">
        <v>220</v>
      </c>
      <c r="O103">
        <f t="shared" si="21"/>
        <v>21681</v>
      </c>
      <c r="P103" s="66">
        <f t="shared" si="22"/>
        <v>9.9483334556934153</v>
      </c>
      <c r="Q103" s="66">
        <f t="shared" si="23"/>
        <v>10.051934873852682</v>
      </c>
    </row>
    <row r="104" spans="1:17" ht="28.8" x14ac:dyDescent="0.3">
      <c r="A104" s="65"/>
      <c r="B104" t="s">
        <v>121</v>
      </c>
      <c r="C104">
        <v>565.29999999999995</v>
      </c>
      <c r="D104">
        <v>80</v>
      </c>
      <c r="E104">
        <f t="shared" si="16"/>
        <v>45224</v>
      </c>
      <c r="F104" s="101" t="s">
        <v>308</v>
      </c>
      <c r="G104">
        <v>85</v>
      </c>
      <c r="H104">
        <v>2000</v>
      </c>
      <c r="I104">
        <f t="shared" si="17"/>
        <v>215224</v>
      </c>
      <c r="J104" s="45">
        <v>5000</v>
      </c>
      <c r="K104" s="60">
        <f t="shared" si="18"/>
        <v>16522.400000000001</v>
      </c>
      <c r="L104" s="61">
        <f t="shared" si="19"/>
        <v>43044.800000000003</v>
      </c>
      <c r="M104" s="62">
        <f t="shared" si="20"/>
        <v>4184.9111111111106</v>
      </c>
      <c r="N104">
        <v>220</v>
      </c>
      <c r="O104">
        <f t="shared" si="21"/>
        <v>21681</v>
      </c>
      <c r="P104" s="66">
        <f t="shared" si="22"/>
        <v>10.073690666468424</v>
      </c>
      <c r="Q104" s="66">
        <f t="shared" si="23"/>
        <v>9.9268483926018174</v>
      </c>
    </row>
    <row r="105" spans="1:17" ht="28.8" x14ac:dyDescent="0.3">
      <c r="A105" s="65"/>
      <c r="B105" t="s">
        <v>122</v>
      </c>
      <c r="C105">
        <v>491.1</v>
      </c>
      <c r="D105">
        <v>80</v>
      </c>
      <c r="E105">
        <f t="shared" si="16"/>
        <v>39288</v>
      </c>
      <c r="F105" s="101" t="s">
        <v>308</v>
      </c>
      <c r="G105">
        <v>85</v>
      </c>
      <c r="H105">
        <v>2000</v>
      </c>
      <c r="I105">
        <f t="shared" si="17"/>
        <v>209288</v>
      </c>
      <c r="J105" s="45">
        <v>5000</v>
      </c>
      <c r="K105" s="60">
        <f t="shared" si="18"/>
        <v>15928.800000000003</v>
      </c>
      <c r="L105" s="61">
        <f t="shared" si="19"/>
        <v>41857.600000000006</v>
      </c>
      <c r="M105" s="62">
        <f t="shared" si="20"/>
        <v>4069.4888888888891</v>
      </c>
      <c r="N105">
        <v>220</v>
      </c>
      <c r="O105">
        <f t="shared" si="21"/>
        <v>21681</v>
      </c>
      <c r="P105" s="66">
        <f t="shared" si="22"/>
        <v>10.35940904399679</v>
      </c>
      <c r="Q105" s="66">
        <f t="shared" si="23"/>
        <v>9.6530602831972701</v>
      </c>
    </row>
    <row r="106" spans="1:17" ht="28.8" x14ac:dyDescent="0.3">
      <c r="A106" s="65"/>
      <c r="B106" t="s">
        <v>123</v>
      </c>
      <c r="C106">
        <v>466.5</v>
      </c>
      <c r="D106">
        <v>80</v>
      </c>
      <c r="E106">
        <f t="shared" si="16"/>
        <v>37320</v>
      </c>
      <c r="F106" s="101" t="s">
        <v>308</v>
      </c>
      <c r="G106">
        <v>85</v>
      </c>
      <c r="H106">
        <v>2000</v>
      </c>
      <c r="I106">
        <f t="shared" si="17"/>
        <v>207320</v>
      </c>
      <c r="J106" s="45">
        <v>5000</v>
      </c>
      <c r="K106" s="60">
        <f t="shared" si="18"/>
        <v>15732</v>
      </c>
      <c r="L106" s="61">
        <f t="shared" si="19"/>
        <v>41464</v>
      </c>
      <c r="M106" s="62">
        <f t="shared" si="20"/>
        <v>4031.2222222222222</v>
      </c>
      <c r="N106">
        <v>220</v>
      </c>
      <c r="O106">
        <f t="shared" si="21"/>
        <v>21681</v>
      </c>
      <c r="P106" s="66">
        <f t="shared" si="22"/>
        <v>10.45774647887324</v>
      </c>
      <c r="Q106" s="66">
        <f t="shared" si="23"/>
        <v>9.5622895622895623</v>
      </c>
    </row>
    <row r="107" spans="1:17" ht="28.8" x14ac:dyDescent="0.3">
      <c r="A107" s="65"/>
      <c r="B107" t="s">
        <v>124</v>
      </c>
      <c r="C107">
        <v>522.9</v>
      </c>
      <c r="D107">
        <v>80</v>
      </c>
      <c r="E107">
        <f t="shared" si="16"/>
        <v>41832</v>
      </c>
      <c r="F107" s="101" t="s">
        <v>308</v>
      </c>
      <c r="G107">
        <v>85</v>
      </c>
      <c r="H107">
        <v>2000</v>
      </c>
      <c r="I107">
        <f t="shared" si="17"/>
        <v>211832</v>
      </c>
      <c r="J107" s="45">
        <v>5000</v>
      </c>
      <c r="K107" s="60">
        <f t="shared" si="18"/>
        <v>16183.2</v>
      </c>
      <c r="L107" s="61">
        <f t="shared" si="19"/>
        <v>42366.400000000001</v>
      </c>
      <c r="M107" s="62">
        <f t="shared" si="20"/>
        <v>4118.9555555555553</v>
      </c>
      <c r="N107">
        <v>220</v>
      </c>
      <c r="O107">
        <f t="shared" si="21"/>
        <v>21681</v>
      </c>
      <c r="P107" s="66">
        <f t="shared" si="22"/>
        <v>10.234997545224518</v>
      </c>
      <c r="Q107" s="66">
        <f t="shared" si="23"/>
        <v>9.7703980443706477</v>
      </c>
    </row>
    <row r="108" spans="1:17" ht="28.8" x14ac:dyDescent="0.3">
      <c r="A108" s="65"/>
      <c r="B108" t="s">
        <v>125</v>
      </c>
      <c r="C108">
        <v>582.20000000000005</v>
      </c>
      <c r="D108">
        <v>80</v>
      </c>
      <c r="E108">
        <f t="shared" si="16"/>
        <v>46576</v>
      </c>
      <c r="F108" s="101" t="s">
        <v>308</v>
      </c>
      <c r="G108">
        <v>85</v>
      </c>
      <c r="H108">
        <v>2000</v>
      </c>
      <c r="I108">
        <f t="shared" si="17"/>
        <v>216576</v>
      </c>
      <c r="J108" s="45">
        <v>5000</v>
      </c>
      <c r="K108" s="60">
        <f t="shared" si="18"/>
        <v>16657.600000000002</v>
      </c>
      <c r="L108" s="61">
        <f t="shared" si="19"/>
        <v>43315.200000000004</v>
      </c>
      <c r="M108" s="62">
        <f t="shared" si="20"/>
        <v>4211.2</v>
      </c>
      <c r="N108">
        <v>220</v>
      </c>
      <c r="O108">
        <f t="shared" si="21"/>
        <v>21681</v>
      </c>
      <c r="P108" s="66">
        <f t="shared" si="22"/>
        <v>10.010804521276597</v>
      </c>
      <c r="Q108" s="66">
        <f t="shared" si="23"/>
        <v>9.9892071398920717</v>
      </c>
    </row>
    <row r="109" spans="1:17" ht="28.8" x14ac:dyDescent="0.3">
      <c r="A109" s="65"/>
      <c r="B109" t="s">
        <v>126</v>
      </c>
      <c r="C109">
        <v>557.29999999999995</v>
      </c>
      <c r="D109">
        <v>80</v>
      </c>
      <c r="E109">
        <f t="shared" si="16"/>
        <v>44584</v>
      </c>
      <c r="F109" s="101" t="s">
        <v>308</v>
      </c>
      <c r="G109">
        <v>85</v>
      </c>
      <c r="H109">
        <v>2000</v>
      </c>
      <c r="I109">
        <f t="shared" si="17"/>
        <v>214584</v>
      </c>
      <c r="J109" s="45">
        <v>5000</v>
      </c>
      <c r="K109" s="60">
        <f t="shared" si="18"/>
        <v>16458.400000000001</v>
      </c>
      <c r="L109" s="61">
        <f t="shared" si="19"/>
        <v>42916.800000000003</v>
      </c>
      <c r="M109" s="62">
        <f t="shared" si="20"/>
        <v>4172.4666666666662</v>
      </c>
      <c r="N109">
        <v>220</v>
      </c>
      <c r="O109">
        <f t="shared" si="21"/>
        <v>21681</v>
      </c>
      <c r="P109" s="66">
        <f t="shared" si="22"/>
        <v>10.103735600044738</v>
      </c>
      <c r="Q109" s="66">
        <f t="shared" si="23"/>
        <v>9.8973294589732941</v>
      </c>
    </row>
    <row r="110" spans="1:17" ht="28.8" x14ac:dyDescent="0.3">
      <c r="A110" s="65"/>
      <c r="B110" t="s">
        <v>127</v>
      </c>
      <c r="C110">
        <v>498.4</v>
      </c>
      <c r="D110">
        <v>80</v>
      </c>
      <c r="E110">
        <f t="shared" si="16"/>
        <v>39872</v>
      </c>
      <c r="F110" s="101" t="s">
        <v>308</v>
      </c>
      <c r="G110">
        <v>85</v>
      </c>
      <c r="H110">
        <v>2000</v>
      </c>
      <c r="I110">
        <f t="shared" si="17"/>
        <v>209872</v>
      </c>
      <c r="J110" s="45">
        <v>5000</v>
      </c>
      <c r="K110" s="60">
        <f t="shared" si="18"/>
        <v>15987.2</v>
      </c>
      <c r="L110" s="61">
        <f t="shared" si="19"/>
        <v>41974.400000000001</v>
      </c>
      <c r="M110" s="62">
        <f t="shared" si="20"/>
        <v>4080.8444444444444</v>
      </c>
      <c r="N110">
        <v>220</v>
      </c>
      <c r="O110">
        <f t="shared" si="21"/>
        <v>21681</v>
      </c>
      <c r="P110" s="66">
        <f t="shared" si="22"/>
        <v>10.330582450255394</v>
      </c>
      <c r="Q110" s="66">
        <f t="shared" si="23"/>
        <v>9.679996310133296</v>
      </c>
    </row>
    <row r="111" spans="1:17" ht="57.6" x14ac:dyDescent="0.3">
      <c r="A111" s="65"/>
      <c r="B111" t="s">
        <v>128</v>
      </c>
      <c r="C111">
        <v>438.1</v>
      </c>
      <c r="D111">
        <v>80</v>
      </c>
      <c r="E111">
        <f t="shared" si="16"/>
        <v>35048</v>
      </c>
      <c r="F111" s="101" t="s">
        <v>215</v>
      </c>
      <c r="G111">
        <v>55</v>
      </c>
      <c r="H111">
        <v>2000</v>
      </c>
      <c r="I111">
        <f t="shared" si="17"/>
        <v>145048</v>
      </c>
      <c r="J111" s="45">
        <v>5000</v>
      </c>
      <c r="K111" s="60">
        <f t="shared" si="18"/>
        <v>9504.8000000000011</v>
      </c>
      <c r="L111" s="61">
        <f t="shared" si="19"/>
        <v>29009.600000000002</v>
      </c>
      <c r="M111" s="62">
        <f t="shared" si="20"/>
        <v>2820.3777777777777</v>
      </c>
      <c r="N111">
        <v>180</v>
      </c>
      <c r="O111">
        <f t="shared" si="21"/>
        <v>17739</v>
      </c>
      <c r="P111" s="66">
        <f t="shared" si="22"/>
        <v>12.229744636258342</v>
      </c>
      <c r="Q111" s="66">
        <f t="shared" si="23"/>
        <v>8.1767856136197086</v>
      </c>
    </row>
    <row r="112" spans="1:17" ht="57.6" x14ac:dyDescent="0.3">
      <c r="A112" s="65"/>
      <c r="B112" t="s">
        <v>129</v>
      </c>
      <c r="C112">
        <v>377.7</v>
      </c>
      <c r="D112">
        <v>80</v>
      </c>
      <c r="E112">
        <f t="shared" si="16"/>
        <v>30216</v>
      </c>
      <c r="F112" s="101" t="s">
        <v>215</v>
      </c>
      <c r="G112">
        <v>55</v>
      </c>
      <c r="H112">
        <v>2000</v>
      </c>
      <c r="I112">
        <f t="shared" si="17"/>
        <v>140216</v>
      </c>
      <c r="J112" s="45">
        <v>5000</v>
      </c>
      <c r="K112" s="60">
        <f t="shared" si="18"/>
        <v>9021.6</v>
      </c>
      <c r="L112" s="61">
        <f t="shared" si="19"/>
        <v>28043.200000000001</v>
      </c>
      <c r="M112" s="62">
        <f t="shared" si="20"/>
        <v>2726.422222222222</v>
      </c>
      <c r="N112">
        <v>180</v>
      </c>
      <c r="O112">
        <f t="shared" si="21"/>
        <v>17739</v>
      </c>
      <c r="P112" s="66">
        <f t="shared" si="22"/>
        <v>12.651195298682033</v>
      </c>
      <c r="Q112" s="66">
        <f t="shared" si="23"/>
        <v>7.9043914538587297</v>
      </c>
    </row>
    <row r="113" spans="1:17" ht="28.8" x14ac:dyDescent="0.3">
      <c r="A113" s="65"/>
      <c r="B113" t="s">
        <v>130</v>
      </c>
      <c r="C113">
        <v>317.39999999999998</v>
      </c>
      <c r="D113">
        <v>80</v>
      </c>
      <c r="E113">
        <f t="shared" si="16"/>
        <v>25392</v>
      </c>
      <c r="F113" s="101" t="s">
        <v>309</v>
      </c>
      <c r="G113">
        <v>55</v>
      </c>
      <c r="H113">
        <v>2000</v>
      </c>
      <c r="I113">
        <f t="shared" si="17"/>
        <v>135392</v>
      </c>
      <c r="J113" s="45">
        <v>5000</v>
      </c>
      <c r="K113" s="60">
        <f t="shared" si="18"/>
        <v>8539.2000000000007</v>
      </c>
      <c r="L113" s="61">
        <f t="shared" si="19"/>
        <v>27078.400000000001</v>
      </c>
      <c r="M113" s="62">
        <f t="shared" si="20"/>
        <v>2632.6222222222223</v>
      </c>
      <c r="N113">
        <v>180</v>
      </c>
      <c r="O113">
        <f t="shared" si="21"/>
        <v>17739</v>
      </c>
      <c r="P113" s="66">
        <f t="shared" si="22"/>
        <v>13.101955802410778</v>
      </c>
      <c r="Q113" s="66">
        <f t="shared" si="23"/>
        <v>7.6324482778059641</v>
      </c>
    </row>
    <row r="114" spans="1:17" ht="28.8" x14ac:dyDescent="0.3">
      <c r="A114" s="65"/>
      <c r="B114" t="s">
        <v>131</v>
      </c>
      <c r="C114">
        <v>491</v>
      </c>
      <c r="D114">
        <v>80</v>
      </c>
      <c r="E114">
        <f t="shared" si="16"/>
        <v>39280</v>
      </c>
      <c r="F114" s="101" t="s">
        <v>308</v>
      </c>
      <c r="G114">
        <v>85</v>
      </c>
      <c r="H114">
        <v>2000</v>
      </c>
      <c r="I114">
        <f t="shared" si="17"/>
        <v>209280</v>
      </c>
      <c r="J114" s="45">
        <v>5000</v>
      </c>
      <c r="K114" s="60">
        <f t="shared" si="18"/>
        <v>15928</v>
      </c>
      <c r="L114" s="61">
        <f t="shared" si="19"/>
        <v>41856</v>
      </c>
      <c r="M114" s="62">
        <f t="shared" si="20"/>
        <v>4069.3333333333335</v>
      </c>
      <c r="N114">
        <v>250</v>
      </c>
      <c r="O114">
        <f t="shared" si="21"/>
        <v>24637.5</v>
      </c>
      <c r="P114" s="66">
        <f t="shared" si="22"/>
        <v>11.772505733944955</v>
      </c>
      <c r="Q114" s="66">
        <f t="shared" si="23"/>
        <v>8.4943683409436836</v>
      </c>
    </row>
    <row r="115" spans="1:17" ht="28.8" x14ac:dyDescent="0.3">
      <c r="A115" s="65"/>
      <c r="B115" t="s">
        <v>132</v>
      </c>
      <c r="C115">
        <v>525.70000000000005</v>
      </c>
      <c r="D115">
        <v>80</v>
      </c>
      <c r="E115">
        <f t="shared" si="16"/>
        <v>42056</v>
      </c>
      <c r="F115" s="101" t="s">
        <v>308</v>
      </c>
      <c r="G115">
        <v>85</v>
      </c>
      <c r="H115">
        <v>2000</v>
      </c>
      <c r="I115">
        <f t="shared" si="17"/>
        <v>212056</v>
      </c>
      <c r="J115" s="45">
        <v>5000</v>
      </c>
      <c r="K115" s="60">
        <f t="shared" si="18"/>
        <v>16205.600000000002</v>
      </c>
      <c r="L115" s="61">
        <f t="shared" si="19"/>
        <v>42411.200000000004</v>
      </c>
      <c r="M115" s="62">
        <f t="shared" si="20"/>
        <v>4123.3111111111102</v>
      </c>
      <c r="N115">
        <v>250</v>
      </c>
      <c r="O115">
        <f t="shared" si="21"/>
        <v>24637.5</v>
      </c>
      <c r="P115" s="66">
        <f t="shared" si="22"/>
        <v>11.618393254611989</v>
      </c>
      <c r="Q115" s="66">
        <f t="shared" si="23"/>
        <v>8.6070421106037536</v>
      </c>
    </row>
    <row r="116" spans="1:17" ht="28.8" x14ac:dyDescent="0.3">
      <c r="A116" s="65"/>
      <c r="B116" t="s">
        <v>133</v>
      </c>
      <c r="C116">
        <v>570</v>
      </c>
      <c r="D116">
        <v>80</v>
      </c>
      <c r="E116">
        <f t="shared" si="16"/>
        <v>45600</v>
      </c>
      <c r="F116" s="101" t="s">
        <v>308</v>
      </c>
      <c r="G116">
        <v>85</v>
      </c>
      <c r="H116">
        <v>2000</v>
      </c>
      <c r="I116">
        <f t="shared" si="17"/>
        <v>215600</v>
      </c>
      <c r="J116" s="45">
        <v>5000</v>
      </c>
      <c r="K116" s="60">
        <f t="shared" si="18"/>
        <v>16560</v>
      </c>
      <c r="L116" s="61">
        <f t="shared" si="19"/>
        <v>43120</v>
      </c>
      <c r="M116" s="62">
        <f t="shared" si="20"/>
        <v>4192.2222222222226</v>
      </c>
      <c r="N116">
        <v>250</v>
      </c>
      <c r="O116">
        <f t="shared" si="21"/>
        <v>24637.5</v>
      </c>
      <c r="P116" s="66">
        <f t="shared" si="22"/>
        <v>11.427411873840446</v>
      </c>
      <c r="Q116" s="66">
        <f t="shared" si="23"/>
        <v>8.7508878741755449</v>
      </c>
    </row>
    <row r="117" spans="1:17" ht="28.8" x14ac:dyDescent="0.3">
      <c r="A117" s="65"/>
      <c r="B117" t="s">
        <v>134</v>
      </c>
      <c r="C117">
        <v>570</v>
      </c>
      <c r="D117">
        <v>80</v>
      </c>
      <c r="E117">
        <f t="shared" si="16"/>
        <v>45600</v>
      </c>
      <c r="F117" s="101" t="s">
        <v>308</v>
      </c>
      <c r="G117">
        <v>85</v>
      </c>
      <c r="H117">
        <v>2000</v>
      </c>
      <c r="I117">
        <f t="shared" si="17"/>
        <v>215600</v>
      </c>
      <c r="J117" s="45">
        <v>5000</v>
      </c>
      <c r="K117" s="60">
        <f t="shared" si="18"/>
        <v>16560</v>
      </c>
      <c r="L117" s="61">
        <f t="shared" si="19"/>
        <v>43120</v>
      </c>
      <c r="M117" s="62">
        <f t="shared" si="20"/>
        <v>4192.2222222222226</v>
      </c>
      <c r="N117">
        <v>250</v>
      </c>
      <c r="O117">
        <f t="shared" si="21"/>
        <v>24637.5</v>
      </c>
      <c r="P117" s="66">
        <f t="shared" si="22"/>
        <v>11.427411873840446</v>
      </c>
      <c r="Q117" s="66">
        <f t="shared" si="23"/>
        <v>8.7508878741755449</v>
      </c>
    </row>
    <row r="118" spans="1:17" ht="72" x14ac:dyDescent="0.3">
      <c r="A118" s="44"/>
      <c r="B118" s="84" t="s">
        <v>135</v>
      </c>
      <c r="C118" s="84">
        <v>741.9</v>
      </c>
      <c r="D118" s="84">
        <v>80</v>
      </c>
      <c r="E118" s="84">
        <f t="shared" si="16"/>
        <v>59352</v>
      </c>
      <c r="F118" s="101" t="s">
        <v>204</v>
      </c>
      <c r="G118">
        <v>110</v>
      </c>
      <c r="H118">
        <v>2000</v>
      </c>
      <c r="I118">
        <f t="shared" si="17"/>
        <v>279352</v>
      </c>
      <c r="J118" s="45">
        <v>5000</v>
      </c>
      <c r="K118" s="60">
        <f t="shared" si="18"/>
        <v>22935.200000000001</v>
      </c>
      <c r="L118" s="61">
        <f t="shared" si="19"/>
        <v>55870.400000000001</v>
      </c>
      <c r="M118" s="62">
        <f t="shared" si="20"/>
        <v>5431.844444444444</v>
      </c>
      <c r="N118">
        <v>300</v>
      </c>
      <c r="O118">
        <f t="shared" si="21"/>
        <v>29565</v>
      </c>
      <c r="P118" s="66">
        <f t="shared" si="22"/>
        <v>10.583421632921905</v>
      </c>
      <c r="Q118" s="66">
        <f t="shared" si="23"/>
        <v>9.4487400642651789</v>
      </c>
    </row>
    <row r="119" spans="1:17" ht="72" x14ac:dyDescent="0.3">
      <c r="A119" s="44"/>
      <c r="B119" s="84" t="s">
        <v>136</v>
      </c>
      <c r="C119" s="84">
        <v>789.9</v>
      </c>
      <c r="D119" s="84">
        <v>80</v>
      </c>
      <c r="E119" s="84">
        <f t="shared" si="16"/>
        <v>63192</v>
      </c>
      <c r="F119" s="101" t="s">
        <v>204</v>
      </c>
      <c r="G119">
        <v>110</v>
      </c>
      <c r="H119">
        <v>2000</v>
      </c>
      <c r="I119">
        <f t="shared" si="17"/>
        <v>283192</v>
      </c>
      <c r="J119" s="45">
        <v>5000</v>
      </c>
      <c r="K119" s="60">
        <f t="shared" si="18"/>
        <v>23319.200000000001</v>
      </c>
      <c r="L119" s="61">
        <f t="shared" si="19"/>
        <v>56638.400000000001</v>
      </c>
      <c r="M119" s="62">
        <f t="shared" si="20"/>
        <v>5506.5111111111109</v>
      </c>
      <c r="N119">
        <v>300</v>
      </c>
      <c r="O119">
        <f t="shared" si="21"/>
        <v>29565</v>
      </c>
      <c r="P119" s="66">
        <f t="shared" si="22"/>
        <v>10.439913556880139</v>
      </c>
      <c r="Q119" s="66">
        <f t="shared" si="23"/>
        <v>9.5786233722306786</v>
      </c>
    </row>
    <row r="120" spans="1:17" ht="28.8" x14ac:dyDescent="0.3">
      <c r="A120" s="65"/>
      <c r="B120" t="s">
        <v>137</v>
      </c>
      <c r="C120">
        <v>509.8</v>
      </c>
      <c r="D120">
        <v>80</v>
      </c>
      <c r="E120">
        <f t="shared" si="16"/>
        <v>40784</v>
      </c>
      <c r="F120" s="101" t="s">
        <v>308</v>
      </c>
      <c r="G120">
        <v>85</v>
      </c>
      <c r="H120">
        <v>2000</v>
      </c>
      <c r="I120">
        <f t="shared" si="17"/>
        <v>210784</v>
      </c>
      <c r="J120" s="45">
        <v>5000</v>
      </c>
      <c r="K120" s="60">
        <f t="shared" si="18"/>
        <v>16078.400000000001</v>
      </c>
      <c r="L120" s="61">
        <f t="shared" si="19"/>
        <v>42156.800000000003</v>
      </c>
      <c r="M120" s="62">
        <f t="shared" si="20"/>
        <v>4098.5777777777776</v>
      </c>
      <c r="N120">
        <v>250</v>
      </c>
      <c r="O120">
        <f t="shared" si="21"/>
        <v>24637.5</v>
      </c>
      <c r="P120" s="66">
        <f t="shared" si="22"/>
        <v>11.688505768938819</v>
      </c>
      <c r="Q120" s="66">
        <f t="shared" si="23"/>
        <v>8.5554134956874677</v>
      </c>
    </row>
    <row r="121" spans="1:17" ht="28.8" x14ac:dyDescent="0.3">
      <c r="A121" s="65"/>
      <c r="B121" t="s">
        <v>138</v>
      </c>
      <c r="C121">
        <v>454.3</v>
      </c>
      <c r="D121">
        <v>80</v>
      </c>
      <c r="E121">
        <f t="shared" si="16"/>
        <v>36344</v>
      </c>
      <c r="F121" s="101" t="s">
        <v>308</v>
      </c>
      <c r="G121">
        <v>85</v>
      </c>
      <c r="H121">
        <v>2000</v>
      </c>
      <c r="I121">
        <f t="shared" si="17"/>
        <v>206344</v>
      </c>
      <c r="J121" s="45">
        <v>5000</v>
      </c>
      <c r="K121" s="60">
        <f t="shared" si="18"/>
        <v>15634.400000000001</v>
      </c>
      <c r="L121" s="61">
        <f t="shared" si="19"/>
        <v>41268.800000000003</v>
      </c>
      <c r="M121" s="62">
        <f t="shared" si="20"/>
        <v>4012.2444444444441</v>
      </c>
      <c r="N121">
        <v>250</v>
      </c>
      <c r="O121">
        <f t="shared" si="21"/>
        <v>24637.5</v>
      </c>
      <c r="P121" s="66">
        <f t="shared" si="22"/>
        <v>11.940012794168961</v>
      </c>
      <c r="Q121" s="66">
        <f t="shared" si="23"/>
        <v>8.3752004058853373</v>
      </c>
    </row>
    <row r="122" spans="1:17" ht="57.6" x14ac:dyDescent="0.3">
      <c r="A122" s="65"/>
      <c r="B122" t="s">
        <v>139</v>
      </c>
      <c r="C122">
        <v>369.9</v>
      </c>
      <c r="D122">
        <v>80</v>
      </c>
      <c r="E122">
        <f t="shared" si="16"/>
        <v>29592</v>
      </c>
      <c r="F122" s="101" t="s">
        <v>215</v>
      </c>
      <c r="G122">
        <v>55</v>
      </c>
      <c r="H122">
        <v>2000</v>
      </c>
      <c r="I122">
        <f t="shared" si="17"/>
        <v>139592</v>
      </c>
      <c r="J122" s="45">
        <v>5000</v>
      </c>
      <c r="K122" s="60">
        <f t="shared" si="18"/>
        <v>8959.2000000000007</v>
      </c>
      <c r="L122" s="61">
        <f t="shared" si="19"/>
        <v>27918.400000000001</v>
      </c>
      <c r="M122" s="62">
        <f t="shared" si="20"/>
        <v>2714.2888888888888</v>
      </c>
      <c r="N122">
        <v>180</v>
      </c>
      <c r="O122">
        <f t="shared" si="21"/>
        <v>17739</v>
      </c>
      <c r="P122" s="66">
        <f t="shared" si="22"/>
        <v>12.707748295031235</v>
      </c>
      <c r="Q122" s="66">
        <f t="shared" si="23"/>
        <v>7.8692147246180735</v>
      </c>
    </row>
    <row r="123" spans="1:17" ht="57.6" x14ac:dyDescent="0.3">
      <c r="A123" s="65"/>
      <c r="B123" t="s">
        <v>140</v>
      </c>
      <c r="C123">
        <v>426.8</v>
      </c>
      <c r="D123">
        <v>80</v>
      </c>
      <c r="E123">
        <f t="shared" si="16"/>
        <v>34144</v>
      </c>
      <c r="F123" s="101" t="s">
        <v>215</v>
      </c>
      <c r="G123">
        <v>55</v>
      </c>
      <c r="H123">
        <v>2000</v>
      </c>
      <c r="I123">
        <f t="shared" si="17"/>
        <v>144144</v>
      </c>
      <c r="J123" s="45">
        <v>5000</v>
      </c>
      <c r="K123" s="60">
        <f t="shared" si="18"/>
        <v>9414.4000000000015</v>
      </c>
      <c r="L123" s="61">
        <f t="shared" si="19"/>
        <v>28828.800000000003</v>
      </c>
      <c r="M123" s="62">
        <f t="shared" si="20"/>
        <v>2802.8</v>
      </c>
      <c r="N123">
        <v>180</v>
      </c>
      <c r="O123">
        <f t="shared" si="21"/>
        <v>17739</v>
      </c>
      <c r="P123" s="66">
        <f t="shared" si="22"/>
        <v>12.306443556443556</v>
      </c>
      <c r="Q123" s="66">
        <f t="shared" si="23"/>
        <v>8.1258244545915783</v>
      </c>
    </row>
    <row r="124" spans="1:17" ht="57.6" x14ac:dyDescent="0.3">
      <c r="A124" s="65"/>
      <c r="B124" t="s">
        <v>141</v>
      </c>
      <c r="C124">
        <v>426.8</v>
      </c>
      <c r="D124">
        <v>80</v>
      </c>
      <c r="E124">
        <f t="shared" si="16"/>
        <v>34144</v>
      </c>
      <c r="F124" s="101" t="s">
        <v>215</v>
      </c>
      <c r="G124">
        <v>55</v>
      </c>
      <c r="H124">
        <v>2000</v>
      </c>
      <c r="I124">
        <f t="shared" si="17"/>
        <v>144144</v>
      </c>
      <c r="J124" s="45">
        <v>5000</v>
      </c>
      <c r="K124" s="60">
        <f t="shared" si="18"/>
        <v>9414.4000000000015</v>
      </c>
      <c r="L124" s="61">
        <f t="shared" si="19"/>
        <v>28828.800000000003</v>
      </c>
      <c r="M124" s="62">
        <f t="shared" si="20"/>
        <v>2802.8</v>
      </c>
      <c r="N124">
        <v>180</v>
      </c>
      <c r="O124">
        <f t="shared" si="21"/>
        <v>17739</v>
      </c>
      <c r="P124" s="66">
        <f t="shared" si="22"/>
        <v>12.306443556443556</v>
      </c>
      <c r="Q124" s="66">
        <f t="shared" si="23"/>
        <v>8.1258244545915783</v>
      </c>
    </row>
    <row r="125" spans="1:17" ht="57.6" x14ac:dyDescent="0.3">
      <c r="A125" s="65"/>
      <c r="B125" t="s">
        <v>142</v>
      </c>
      <c r="C125">
        <v>426.8</v>
      </c>
      <c r="D125">
        <v>80</v>
      </c>
      <c r="E125">
        <f t="shared" si="16"/>
        <v>34144</v>
      </c>
      <c r="F125" s="101" t="s">
        <v>215</v>
      </c>
      <c r="G125">
        <v>55</v>
      </c>
      <c r="H125">
        <v>2000</v>
      </c>
      <c r="I125">
        <f t="shared" si="17"/>
        <v>144144</v>
      </c>
      <c r="J125" s="45">
        <v>5000</v>
      </c>
      <c r="K125" s="60">
        <f t="shared" si="18"/>
        <v>9414.4000000000015</v>
      </c>
      <c r="L125" s="61">
        <f t="shared" si="19"/>
        <v>28828.800000000003</v>
      </c>
      <c r="M125" s="62">
        <f t="shared" si="20"/>
        <v>2802.8</v>
      </c>
      <c r="N125">
        <v>180</v>
      </c>
      <c r="O125">
        <f t="shared" si="21"/>
        <v>17739</v>
      </c>
      <c r="P125" s="66">
        <f t="shared" si="22"/>
        <v>12.306443556443556</v>
      </c>
      <c r="Q125" s="66">
        <f t="shared" si="23"/>
        <v>8.1258244545915783</v>
      </c>
    </row>
    <row r="126" spans="1:17" ht="57.6" x14ac:dyDescent="0.3">
      <c r="A126" s="65"/>
      <c r="B126" t="s">
        <v>143</v>
      </c>
      <c r="C126">
        <v>426.8</v>
      </c>
      <c r="D126">
        <v>80</v>
      </c>
      <c r="E126">
        <f t="shared" si="16"/>
        <v>34144</v>
      </c>
      <c r="F126" s="101" t="s">
        <v>215</v>
      </c>
      <c r="G126">
        <v>55</v>
      </c>
      <c r="H126">
        <v>2000</v>
      </c>
      <c r="I126">
        <f t="shared" si="17"/>
        <v>144144</v>
      </c>
      <c r="J126" s="45">
        <v>5000</v>
      </c>
      <c r="K126" s="60">
        <f t="shared" si="18"/>
        <v>9414.4000000000015</v>
      </c>
      <c r="L126" s="61">
        <f t="shared" si="19"/>
        <v>28828.800000000003</v>
      </c>
      <c r="M126" s="62">
        <f t="shared" si="20"/>
        <v>2802.8</v>
      </c>
      <c r="N126">
        <v>180</v>
      </c>
      <c r="O126">
        <f t="shared" si="21"/>
        <v>17739</v>
      </c>
      <c r="P126" s="66">
        <f t="shared" si="22"/>
        <v>12.306443556443556</v>
      </c>
      <c r="Q126" s="66">
        <f t="shared" si="23"/>
        <v>8.1258244545915783</v>
      </c>
    </row>
    <row r="127" spans="1:17" ht="57.6" x14ac:dyDescent="0.3">
      <c r="A127" s="65"/>
      <c r="B127" t="s">
        <v>144</v>
      </c>
      <c r="C127">
        <v>426.8</v>
      </c>
      <c r="D127">
        <v>80</v>
      </c>
      <c r="E127">
        <f t="shared" si="16"/>
        <v>34144</v>
      </c>
      <c r="F127" s="101" t="s">
        <v>215</v>
      </c>
      <c r="G127">
        <v>55</v>
      </c>
      <c r="H127">
        <v>2000</v>
      </c>
      <c r="I127">
        <f t="shared" si="17"/>
        <v>144144</v>
      </c>
      <c r="J127" s="45">
        <v>5000</v>
      </c>
      <c r="K127" s="60">
        <f t="shared" si="18"/>
        <v>9414.4000000000015</v>
      </c>
      <c r="L127" s="61">
        <f t="shared" si="19"/>
        <v>28828.800000000003</v>
      </c>
      <c r="M127" s="62">
        <f t="shared" si="20"/>
        <v>2802.8</v>
      </c>
      <c r="N127">
        <v>180</v>
      </c>
      <c r="O127">
        <f t="shared" si="21"/>
        <v>17739</v>
      </c>
      <c r="P127" s="66">
        <f t="shared" si="22"/>
        <v>12.306443556443556</v>
      </c>
      <c r="Q127" s="66">
        <f t="shared" si="23"/>
        <v>8.1258244545915783</v>
      </c>
    </row>
    <row r="128" spans="1:17" ht="57.6" x14ac:dyDescent="0.3">
      <c r="A128" s="65"/>
      <c r="B128" t="s">
        <v>145</v>
      </c>
      <c r="C128">
        <v>426.8</v>
      </c>
      <c r="D128">
        <v>80</v>
      </c>
      <c r="E128">
        <f t="shared" si="16"/>
        <v>34144</v>
      </c>
      <c r="F128" s="101" t="s">
        <v>215</v>
      </c>
      <c r="G128">
        <v>55</v>
      </c>
      <c r="H128">
        <v>2000</v>
      </c>
      <c r="I128">
        <f t="shared" si="17"/>
        <v>144144</v>
      </c>
      <c r="J128" s="45">
        <v>5000</v>
      </c>
      <c r="K128" s="60">
        <f t="shared" si="18"/>
        <v>9414.4000000000015</v>
      </c>
      <c r="L128" s="61">
        <f t="shared" si="19"/>
        <v>28828.800000000003</v>
      </c>
      <c r="M128" s="62">
        <f t="shared" si="20"/>
        <v>2802.8</v>
      </c>
      <c r="N128">
        <v>180</v>
      </c>
      <c r="O128">
        <f t="shared" si="21"/>
        <v>17739</v>
      </c>
      <c r="P128" s="66">
        <f t="shared" si="22"/>
        <v>12.306443556443556</v>
      </c>
      <c r="Q128" s="66">
        <f t="shared" si="23"/>
        <v>8.1258244545915783</v>
      </c>
    </row>
    <row r="129" spans="1:17" ht="57.6" x14ac:dyDescent="0.3">
      <c r="A129" s="65"/>
      <c r="B129" t="s">
        <v>146</v>
      </c>
      <c r="C129">
        <v>426.8</v>
      </c>
      <c r="D129">
        <v>80</v>
      </c>
      <c r="E129">
        <f t="shared" si="16"/>
        <v>34144</v>
      </c>
      <c r="F129" s="101" t="s">
        <v>215</v>
      </c>
      <c r="G129">
        <v>55</v>
      </c>
      <c r="H129">
        <v>2000</v>
      </c>
      <c r="I129">
        <f t="shared" si="17"/>
        <v>144144</v>
      </c>
      <c r="J129" s="45">
        <v>5000</v>
      </c>
      <c r="K129" s="60">
        <f t="shared" si="18"/>
        <v>9414.4000000000015</v>
      </c>
      <c r="L129" s="61">
        <f t="shared" si="19"/>
        <v>28828.800000000003</v>
      </c>
      <c r="M129" s="62">
        <f t="shared" si="20"/>
        <v>2802.8</v>
      </c>
      <c r="N129">
        <v>180</v>
      </c>
      <c r="O129">
        <f t="shared" si="21"/>
        <v>17739</v>
      </c>
      <c r="P129" s="66">
        <f t="shared" si="22"/>
        <v>12.306443556443556</v>
      </c>
      <c r="Q129" s="66">
        <f t="shared" si="23"/>
        <v>8.1258244545915783</v>
      </c>
    </row>
    <row r="130" spans="1:17" ht="57.6" x14ac:dyDescent="0.3">
      <c r="A130" s="65"/>
      <c r="B130" t="s">
        <v>147</v>
      </c>
      <c r="C130">
        <v>426.8</v>
      </c>
      <c r="D130">
        <v>80</v>
      </c>
      <c r="E130">
        <f t="shared" si="16"/>
        <v>34144</v>
      </c>
      <c r="F130" s="101" t="s">
        <v>215</v>
      </c>
      <c r="G130">
        <v>55</v>
      </c>
      <c r="H130">
        <v>2000</v>
      </c>
      <c r="I130">
        <f t="shared" si="17"/>
        <v>144144</v>
      </c>
      <c r="J130" s="45">
        <v>5000</v>
      </c>
      <c r="K130" s="60">
        <f t="shared" si="18"/>
        <v>9414.4000000000015</v>
      </c>
      <c r="L130" s="61">
        <f t="shared" si="19"/>
        <v>28828.800000000003</v>
      </c>
      <c r="M130" s="62">
        <f t="shared" si="20"/>
        <v>2802.8</v>
      </c>
      <c r="N130">
        <v>180</v>
      </c>
      <c r="O130">
        <f t="shared" si="21"/>
        <v>17739</v>
      </c>
      <c r="P130" s="66">
        <f t="shared" si="22"/>
        <v>12.306443556443556</v>
      </c>
      <c r="Q130" s="66">
        <f t="shared" si="23"/>
        <v>8.1258244545915783</v>
      </c>
    </row>
    <row r="131" spans="1:17" ht="57.6" x14ac:dyDescent="0.3">
      <c r="A131" s="65"/>
      <c r="B131" t="s">
        <v>148</v>
      </c>
      <c r="C131">
        <v>426.8</v>
      </c>
      <c r="D131">
        <v>80</v>
      </c>
      <c r="E131">
        <f t="shared" si="16"/>
        <v>34144</v>
      </c>
      <c r="F131" s="101" t="s">
        <v>215</v>
      </c>
      <c r="G131">
        <v>55</v>
      </c>
      <c r="H131">
        <v>2000</v>
      </c>
      <c r="I131">
        <f t="shared" si="17"/>
        <v>144144</v>
      </c>
      <c r="J131" s="45">
        <v>5000</v>
      </c>
      <c r="K131" s="60">
        <f t="shared" si="18"/>
        <v>9414.4000000000015</v>
      </c>
      <c r="L131" s="61">
        <f t="shared" si="19"/>
        <v>28828.800000000003</v>
      </c>
      <c r="M131" s="62">
        <f t="shared" si="20"/>
        <v>2802.8</v>
      </c>
      <c r="N131">
        <v>180</v>
      </c>
      <c r="O131">
        <f t="shared" si="21"/>
        <v>17739</v>
      </c>
      <c r="P131" s="66">
        <f t="shared" si="22"/>
        <v>12.306443556443556</v>
      </c>
      <c r="Q131" s="66">
        <f t="shared" si="23"/>
        <v>8.1258244545915783</v>
      </c>
    </row>
    <row r="132" spans="1:17" ht="57.6" x14ac:dyDescent="0.3">
      <c r="A132" s="65"/>
      <c r="B132" t="s">
        <v>149</v>
      </c>
      <c r="C132">
        <v>426.8</v>
      </c>
      <c r="D132">
        <v>80</v>
      </c>
      <c r="E132">
        <f t="shared" si="16"/>
        <v>34144</v>
      </c>
      <c r="F132" s="101" t="s">
        <v>215</v>
      </c>
      <c r="G132">
        <v>55</v>
      </c>
      <c r="H132">
        <v>2000</v>
      </c>
      <c r="I132">
        <f t="shared" si="17"/>
        <v>144144</v>
      </c>
      <c r="J132" s="45">
        <v>5000</v>
      </c>
      <c r="K132" s="60">
        <f t="shared" si="18"/>
        <v>9414.4000000000015</v>
      </c>
      <c r="L132" s="61">
        <f t="shared" si="19"/>
        <v>28828.800000000003</v>
      </c>
      <c r="M132" s="62">
        <f t="shared" si="20"/>
        <v>2802.8</v>
      </c>
      <c r="N132">
        <v>180</v>
      </c>
      <c r="O132">
        <f t="shared" si="21"/>
        <v>17739</v>
      </c>
      <c r="P132" s="66">
        <f t="shared" si="22"/>
        <v>12.306443556443556</v>
      </c>
      <c r="Q132" s="66">
        <f t="shared" si="23"/>
        <v>8.1258244545915783</v>
      </c>
    </row>
    <row r="133" spans="1:17" ht="57.6" x14ac:dyDescent="0.3">
      <c r="A133" s="65"/>
      <c r="B133" t="s">
        <v>150</v>
      </c>
      <c r="C133">
        <v>428.7</v>
      </c>
      <c r="D133">
        <v>80</v>
      </c>
      <c r="E133">
        <f t="shared" si="16"/>
        <v>34296</v>
      </c>
      <c r="F133" s="101" t="s">
        <v>215</v>
      </c>
      <c r="G133">
        <v>55</v>
      </c>
      <c r="H133">
        <v>2000</v>
      </c>
      <c r="I133">
        <f t="shared" si="17"/>
        <v>144296</v>
      </c>
      <c r="J133" s="45">
        <v>5000</v>
      </c>
      <c r="K133" s="60">
        <f t="shared" si="18"/>
        <v>9429.6</v>
      </c>
      <c r="L133" s="61">
        <f t="shared" si="19"/>
        <v>28859.200000000001</v>
      </c>
      <c r="M133" s="62">
        <f t="shared" si="20"/>
        <v>2805.7555555555555</v>
      </c>
      <c r="N133">
        <v>180</v>
      </c>
      <c r="O133">
        <f t="shared" si="21"/>
        <v>17739</v>
      </c>
      <c r="P133" s="66">
        <f t="shared" si="22"/>
        <v>12.293480068747574</v>
      </c>
      <c r="Q133" s="66">
        <f t="shared" si="23"/>
        <v>8.1343931450476354</v>
      </c>
    </row>
    <row r="134" spans="1:17" ht="28.8" x14ac:dyDescent="0.3">
      <c r="A134" s="65"/>
      <c r="B134" t="s">
        <v>151</v>
      </c>
      <c r="C134">
        <v>467.1</v>
      </c>
      <c r="D134">
        <v>80</v>
      </c>
      <c r="E134">
        <f t="shared" si="16"/>
        <v>37368</v>
      </c>
      <c r="F134" s="101" t="s">
        <v>308</v>
      </c>
      <c r="G134">
        <v>85</v>
      </c>
      <c r="H134">
        <v>2000</v>
      </c>
      <c r="I134">
        <f t="shared" si="17"/>
        <v>207368</v>
      </c>
      <c r="J134" s="45">
        <v>5000</v>
      </c>
      <c r="K134" s="60">
        <f t="shared" si="18"/>
        <v>15736.800000000003</v>
      </c>
      <c r="L134" s="61">
        <f t="shared" si="19"/>
        <v>41473.600000000006</v>
      </c>
      <c r="M134" s="62">
        <f t="shared" si="20"/>
        <v>4032.1555555555556</v>
      </c>
      <c r="N134">
        <v>250</v>
      </c>
      <c r="O134">
        <f t="shared" si="21"/>
        <v>24637.5</v>
      </c>
      <c r="P134" s="66">
        <f t="shared" si="22"/>
        <v>11.881052042745264</v>
      </c>
      <c r="Q134" s="66">
        <f t="shared" si="23"/>
        <v>8.4167630644342974</v>
      </c>
    </row>
    <row r="135" spans="1:17" ht="57.6" x14ac:dyDescent="0.3">
      <c r="A135" s="65"/>
      <c r="B135" t="s">
        <v>152</v>
      </c>
      <c r="C135">
        <v>420</v>
      </c>
      <c r="D135">
        <v>80</v>
      </c>
      <c r="E135">
        <f t="shared" si="16"/>
        <v>33600</v>
      </c>
      <c r="F135" s="101" t="s">
        <v>215</v>
      </c>
      <c r="G135">
        <v>55</v>
      </c>
      <c r="H135">
        <v>2000</v>
      </c>
      <c r="I135">
        <f t="shared" si="17"/>
        <v>143600</v>
      </c>
      <c r="J135" s="45">
        <v>5000</v>
      </c>
      <c r="K135" s="60">
        <f t="shared" si="18"/>
        <v>9360</v>
      </c>
      <c r="L135" s="61">
        <f t="shared" si="19"/>
        <v>28720</v>
      </c>
      <c r="M135" s="62">
        <f t="shared" si="20"/>
        <v>2792.2222222222222</v>
      </c>
      <c r="N135">
        <v>180</v>
      </c>
      <c r="O135">
        <f t="shared" si="21"/>
        <v>17739</v>
      </c>
      <c r="P135" s="66">
        <f t="shared" si="22"/>
        <v>12.353064066852367</v>
      </c>
      <c r="Q135" s="66">
        <f t="shared" si="23"/>
        <v>8.095157562433057</v>
      </c>
    </row>
    <row r="136" spans="1:17" ht="57.6" x14ac:dyDescent="0.3">
      <c r="A136" s="65"/>
      <c r="B136" t="s">
        <v>153</v>
      </c>
      <c r="C136">
        <v>420</v>
      </c>
      <c r="D136">
        <v>80</v>
      </c>
      <c r="E136">
        <f t="shared" si="16"/>
        <v>33600</v>
      </c>
      <c r="F136" s="101" t="s">
        <v>215</v>
      </c>
      <c r="G136">
        <v>55</v>
      </c>
      <c r="H136">
        <v>2000</v>
      </c>
      <c r="I136">
        <f t="shared" si="17"/>
        <v>143600</v>
      </c>
      <c r="J136" s="45">
        <v>5000</v>
      </c>
      <c r="K136" s="60">
        <f t="shared" si="18"/>
        <v>9360</v>
      </c>
      <c r="L136" s="61">
        <f t="shared" si="19"/>
        <v>28720</v>
      </c>
      <c r="M136" s="62">
        <f t="shared" si="20"/>
        <v>2792.2222222222222</v>
      </c>
      <c r="N136">
        <v>180</v>
      </c>
      <c r="O136">
        <f t="shared" si="21"/>
        <v>17739</v>
      </c>
      <c r="P136" s="66">
        <f t="shared" si="22"/>
        <v>12.353064066852367</v>
      </c>
      <c r="Q136" s="66">
        <f t="shared" si="23"/>
        <v>8.095157562433057</v>
      </c>
    </row>
    <row r="137" spans="1:17" ht="57.6" x14ac:dyDescent="0.3">
      <c r="A137" s="65"/>
      <c r="B137" t="s">
        <v>154</v>
      </c>
      <c r="C137">
        <v>420</v>
      </c>
      <c r="D137">
        <v>80</v>
      </c>
      <c r="E137">
        <f t="shared" si="16"/>
        <v>33600</v>
      </c>
      <c r="F137" s="101" t="s">
        <v>215</v>
      </c>
      <c r="G137">
        <v>55</v>
      </c>
      <c r="H137">
        <v>2000</v>
      </c>
      <c r="I137">
        <f t="shared" si="17"/>
        <v>143600</v>
      </c>
      <c r="J137" s="45">
        <v>5000</v>
      </c>
      <c r="K137" s="60">
        <f t="shared" si="18"/>
        <v>9360</v>
      </c>
      <c r="L137" s="61">
        <f t="shared" si="19"/>
        <v>28720</v>
      </c>
      <c r="M137" s="62">
        <f t="shared" si="20"/>
        <v>2792.2222222222222</v>
      </c>
      <c r="N137">
        <v>180</v>
      </c>
      <c r="O137">
        <f t="shared" si="21"/>
        <v>17739</v>
      </c>
      <c r="P137" s="66">
        <f t="shared" si="22"/>
        <v>12.353064066852367</v>
      </c>
      <c r="Q137" s="66">
        <f t="shared" si="23"/>
        <v>8.095157562433057</v>
      </c>
    </row>
    <row r="138" spans="1:17" ht="57.6" x14ac:dyDescent="0.3">
      <c r="A138" s="65"/>
      <c r="B138" t="s">
        <v>155</v>
      </c>
      <c r="C138">
        <v>420</v>
      </c>
      <c r="D138">
        <v>80</v>
      </c>
      <c r="E138">
        <f t="shared" si="16"/>
        <v>33600</v>
      </c>
      <c r="F138" s="101" t="s">
        <v>215</v>
      </c>
      <c r="G138">
        <v>55</v>
      </c>
      <c r="H138">
        <v>2000</v>
      </c>
      <c r="I138">
        <f t="shared" si="17"/>
        <v>143600</v>
      </c>
      <c r="J138" s="45">
        <v>5000</v>
      </c>
      <c r="K138" s="60">
        <f t="shared" si="18"/>
        <v>9360</v>
      </c>
      <c r="L138" s="61">
        <f t="shared" si="19"/>
        <v>28720</v>
      </c>
      <c r="M138" s="62">
        <f t="shared" si="20"/>
        <v>2792.2222222222222</v>
      </c>
      <c r="N138">
        <v>180</v>
      </c>
      <c r="O138">
        <f t="shared" si="21"/>
        <v>17739</v>
      </c>
      <c r="P138" s="66">
        <f t="shared" si="22"/>
        <v>12.353064066852367</v>
      </c>
      <c r="Q138" s="66">
        <f t="shared" si="23"/>
        <v>8.095157562433057</v>
      </c>
    </row>
    <row r="139" spans="1:17" ht="57.6" x14ac:dyDescent="0.3">
      <c r="A139" s="65"/>
      <c r="B139" t="s">
        <v>156</v>
      </c>
      <c r="C139">
        <v>394.1</v>
      </c>
      <c r="D139">
        <v>80</v>
      </c>
      <c r="E139">
        <f t="shared" si="16"/>
        <v>31528</v>
      </c>
      <c r="F139" s="101" t="s">
        <v>215</v>
      </c>
      <c r="G139">
        <v>55</v>
      </c>
      <c r="H139">
        <v>2000</v>
      </c>
      <c r="I139">
        <f t="shared" si="17"/>
        <v>141528</v>
      </c>
      <c r="J139" s="45">
        <v>5000</v>
      </c>
      <c r="K139" s="60">
        <f t="shared" si="18"/>
        <v>9152.8000000000011</v>
      </c>
      <c r="L139" s="61">
        <f t="shared" si="19"/>
        <v>28305.600000000002</v>
      </c>
      <c r="M139" s="62">
        <f t="shared" si="20"/>
        <v>2751.9333333333329</v>
      </c>
      <c r="N139">
        <v>180</v>
      </c>
      <c r="O139">
        <f t="shared" si="21"/>
        <v>17739</v>
      </c>
      <c r="P139" s="66">
        <f t="shared" si="22"/>
        <v>12.533915550279803</v>
      </c>
      <c r="Q139" s="66">
        <f t="shared" si="23"/>
        <v>7.97835278200575</v>
      </c>
    </row>
    <row r="140" spans="1:17" ht="57.6" x14ac:dyDescent="0.3">
      <c r="A140" s="65"/>
      <c r="B140" t="s">
        <v>157</v>
      </c>
      <c r="C140">
        <v>342.3</v>
      </c>
      <c r="D140">
        <v>80</v>
      </c>
      <c r="E140">
        <f t="shared" si="16"/>
        <v>27384</v>
      </c>
      <c r="F140" s="101" t="s">
        <v>215</v>
      </c>
      <c r="G140">
        <v>55</v>
      </c>
      <c r="H140">
        <v>2000</v>
      </c>
      <c r="I140">
        <f t="shared" si="17"/>
        <v>137384</v>
      </c>
      <c r="J140" s="45">
        <v>5000</v>
      </c>
      <c r="K140" s="60">
        <f t="shared" si="18"/>
        <v>8738.4000000000015</v>
      </c>
      <c r="L140" s="61">
        <f t="shared" si="19"/>
        <v>27476.800000000003</v>
      </c>
      <c r="M140" s="62">
        <f t="shared" si="20"/>
        <v>2671.3555555555558</v>
      </c>
      <c r="N140">
        <v>180</v>
      </c>
      <c r="O140">
        <f t="shared" si="21"/>
        <v>17739</v>
      </c>
      <c r="P140" s="66">
        <f t="shared" si="22"/>
        <v>12.911983928259477</v>
      </c>
      <c r="Q140" s="66">
        <f t="shared" si="23"/>
        <v>7.7447432211511362</v>
      </c>
    </row>
    <row r="141" spans="1:17" ht="57.6" x14ac:dyDescent="0.3">
      <c r="A141" s="65"/>
      <c r="B141" t="s">
        <v>158</v>
      </c>
      <c r="C141">
        <v>388.7</v>
      </c>
      <c r="D141">
        <v>80</v>
      </c>
      <c r="E141">
        <f t="shared" si="16"/>
        <v>31096</v>
      </c>
      <c r="F141" s="101" t="s">
        <v>215</v>
      </c>
      <c r="G141">
        <v>55</v>
      </c>
      <c r="H141">
        <v>2000</v>
      </c>
      <c r="I141">
        <f t="shared" si="17"/>
        <v>141096</v>
      </c>
      <c r="J141" s="45">
        <v>5000</v>
      </c>
      <c r="K141" s="60">
        <f t="shared" si="18"/>
        <v>9109.6</v>
      </c>
      <c r="L141" s="61">
        <f t="shared" si="19"/>
        <v>28219.200000000001</v>
      </c>
      <c r="M141" s="62">
        <f t="shared" si="20"/>
        <v>2743.5333333333333</v>
      </c>
      <c r="N141">
        <v>180</v>
      </c>
      <c r="O141">
        <f t="shared" si="21"/>
        <v>17739</v>
      </c>
      <c r="P141" s="66">
        <f t="shared" si="22"/>
        <v>12.572291205987412</v>
      </c>
      <c r="Q141" s="66">
        <f t="shared" si="23"/>
        <v>7.9539996617622188</v>
      </c>
    </row>
    <row r="142" spans="1:17" ht="57.6" x14ac:dyDescent="0.3">
      <c r="A142" s="65"/>
      <c r="B142" t="s">
        <v>159</v>
      </c>
      <c r="C142">
        <v>413</v>
      </c>
      <c r="D142">
        <v>80</v>
      </c>
      <c r="E142">
        <f t="shared" si="16"/>
        <v>33040</v>
      </c>
      <c r="F142" s="101" t="s">
        <v>215</v>
      </c>
      <c r="G142">
        <v>55</v>
      </c>
      <c r="H142">
        <v>2000</v>
      </c>
      <c r="I142">
        <f t="shared" si="17"/>
        <v>143040</v>
      </c>
      <c r="J142" s="45">
        <v>5000</v>
      </c>
      <c r="K142" s="60">
        <f t="shared" si="18"/>
        <v>9304</v>
      </c>
      <c r="L142" s="61">
        <f t="shared" si="19"/>
        <v>28608</v>
      </c>
      <c r="M142" s="62">
        <f t="shared" si="20"/>
        <v>2781.3333333333335</v>
      </c>
      <c r="N142">
        <v>180</v>
      </c>
      <c r="O142">
        <f t="shared" si="21"/>
        <v>17739</v>
      </c>
      <c r="P142" s="66">
        <f t="shared" si="22"/>
        <v>12.401426174496644</v>
      </c>
      <c r="Q142" s="66">
        <f t="shared" si="23"/>
        <v>8.0635887028581088</v>
      </c>
    </row>
    <row r="143" spans="1:17" ht="57.6" x14ac:dyDescent="0.3">
      <c r="A143" s="65"/>
      <c r="B143" t="s">
        <v>160</v>
      </c>
      <c r="C143">
        <v>419.3</v>
      </c>
      <c r="D143">
        <v>80</v>
      </c>
      <c r="E143">
        <f t="shared" si="16"/>
        <v>33544</v>
      </c>
      <c r="F143" s="101" t="s">
        <v>215</v>
      </c>
      <c r="G143">
        <v>55</v>
      </c>
      <c r="H143">
        <v>2000</v>
      </c>
      <c r="I143">
        <f t="shared" si="17"/>
        <v>143544</v>
      </c>
      <c r="J143" s="45">
        <v>5000</v>
      </c>
      <c r="K143" s="60">
        <f t="shared" si="18"/>
        <v>9354.4000000000015</v>
      </c>
      <c r="L143" s="61">
        <f t="shared" si="19"/>
        <v>28708.800000000003</v>
      </c>
      <c r="M143" s="62">
        <f t="shared" si="20"/>
        <v>2791.1333333333332</v>
      </c>
      <c r="N143">
        <v>180</v>
      </c>
      <c r="O143">
        <f t="shared" si="21"/>
        <v>17739</v>
      </c>
      <c r="P143" s="66">
        <f t="shared" si="22"/>
        <v>12.357883297107506</v>
      </c>
      <c r="Q143" s="66">
        <f t="shared" si="23"/>
        <v>8.0920006764755623</v>
      </c>
    </row>
    <row r="144" spans="1:17" ht="57.6" x14ac:dyDescent="0.3">
      <c r="A144" s="65"/>
      <c r="B144" t="s">
        <v>161</v>
      </c>
      <c r="C144">
        <v>426.2</v>
      </c>
      <c r="D144">
        <v>80</v>
      </c>
      <c r="E144">
        <f t="shared" si="16"/>
        <v>34096</v>
      </c>
      <c r="F144" s="101" t="s">
        <v>215</v>
      </c>
      <c r="G144">
        <v>55</v>
      </c>
      <c r="H144">
        <v>2000</v>
      </c>
      <c r="I144">
        <f t="shared" si="17"/>
        <v>144096</v>
      </c>
      <c r="J144" s="45">
        <v>5000</v>
      </c>
      <c r="K144" s="60">
        <f t="shared" si="18"/>
        <v>9409.6</v>
      </c>
      <c r="L144" s="61">
        <f t="shared" si="19"/>
        <v>28819.200000000001</v>
      </c>
      <c r="M144" s="62">
        <f t="shared" si="20"/>
        <v>2801.8666666666668</v>
      </c>
      <c r="N144">
        <v>180</v>
      </c>
      <c r="O144">
        <f t="shared" si="21"/>
        <v>17739</v>
      </c>
      <c r="P144" s="66">
        <f t="shared" si="22"/>
        <v>12.310542971352431</v>
      </c>
      <c r="Q144" s="66">
        <f t="shared" si="23"/>
        <v>8.1231185523422962</v>
      </c>
    </row>
    <row r="145" spans="1:17" ht="57.6" x14ac:dyDescent="0.3">
      <c r="A145" s="65"/>
      <c r="B145" t="s">
        <v>162</v>
      </c>
      <c r="C145">
        <v>427.8</v>
      </c>
      <c r="D145">
        <v>80</v>
      </c>
      <c r="E145">
        <f t="shared" si="16"/>
        <v>34224</v>
      </c>
      <c r="F145" s="101" t="s">
        <v>215</v>
      </c>
      <c r="G145">
        <v>55</v>
      </c>
      <c r="H145">
        <v>2000</v>
      </c>
      <c r="I145">
        <f t="shared" si="17"/>
        <v>144224</v>
      </c>
      <c r="J145" s="45">
        <v>5000</v>
      </c>
      <c r="K145" s="60">
        <f t="shared" si="18"/>
        <v>9422.4000000000015</v>
      </c>
      <c r="L145" s="61">
        <f t="shared" si="19"/>
        <v>28844.800000000003</v>
      </c>
      <c r="M145" s="62">
        <f t="shared" si="20"/>
        <v>2804.3555555555558</v>
      </c>
      <c r="N145">
        <v>180</v>
      </c>
      <c r="O145">
        <f t="shared" si="21"/>
        <v>17739</v>
      </c>
      <c r="P145" s="66">
        <f t="shared" si="22"/>
        <v>12.299617262036831</v>
      </c>
      <c r="Q145" s="66">
        <f t="shared" si="23"/>
        <v>8.130334291673714</v>
      </c>
    </row>
    <row r="146" spans="1:17" ht="57.6" x14ac:dyDescent="0.3">
      <c r="A146" s="65"/>
      <c r="B146" t="s">
        <v>163</v>
      </c>
      <c r="C146">
        <v>415.7</v>
      </c>
      <c r="D146">
        <v>80</v>
      </c>
      <c r="E146">
        <f t="shared" si="16"/>
        <v>33256</v>
      </c>
      <c r="F146" s="101" t="s">
        <v>215</v>
      </c>
      <c r="G146">
        <v>55</v>
      </c>
      <c r="H146">
        <v>2000</v>
      </c>
      <c r="I146">
        <f t="shared" si="17"/>
        <v>143256</v>
      </c>
      <c r="J146" s="45">
        <v>5000</v>
      </c>
      <c r="K146" s="60">
        <f t="shared" si="18"/>
        <v>9325.6</v>
      </c>
      <c r="L146" s="61">
        <f t="shared" si="19"/>
        <v>28651.200000000001</v>
      </c>
      <c r="M146" s="62">
        <f t="shared" si="20"/>
        <v>2785.5333333333333</v>
      </c>
      <c r="N146">
        <v>180</v>
      </c>
      <c r="O146">
        <f t="shared" si="21"/>
        <v>17739</v>
      </c>
      <c r="P146" s="66">
        <f t="shared" si="22"/>
        <v>12.382727425029318</v>
      </c>
      <c r="Q146" s="66">
        <f t="shared" si="23"/>
        <v>8.0757652629798748</v>
      </c>
    </row>
    <row r="147" spans="1:17" ht="28.8" x14ac:dyDescent="0.3">
      <c r="A147" s="65"/>
      <c r="B147" t="s">
        <v>164</v>
      </c>
      <c r="C147">
        <v>474</v>
      </c>
      <c r="D147">
        <v>100</v>
      </c>
      <c r="E147">
        <f t="shared" si="16"/>
        <v>47400</v>
      </c>
      <c r="F147" s="101" t="s">
        <v>18</v>
      </c>
      <c r="G147">
        <v>85</v>
      </c>
      <c r="H147">
        <v>2000</v>
      </c>
      <c r="I147">
        <f t="shared" si="17"/>
        <v>217400</v>
      </c>
      <c r="J147" s="45">
        <v>5000</v>
      </c>
      <c r="K147" s="60">
        <f t="shared" si="18"/>
        <v>16740</v>
      </c>
      <c r="L147" s="61">
        <f t="shared" si="19"/>
        <v>43480</v>
      </c>
      <c r="M147" s="62">
        <f t="shared" si="20"/>
        <v>4227.2222222222226</v>
      </c>
      <c r="N147">
        <v>250</v>
      </c>
      <c r="O147">
        <f t="shared" si="21"/>
        <v>24637.5</v>
      </c>
      <c r="P147" s="66">
        <f t="shared" si="22"/>
        <v>11.332796688132476</v>
      </c>
      <c r="Q147" s="66">
        <f t="shared" si="23"/>
        <v>8.8239472349061394</v>
      </c>
    </row>
    <row r="148" spans="1:17" ht="28.8" x14ac:dyDescent="0.3">
      <c r="A148" s="65"/>
      <c r="B148" t="s">
        <v>165</v>
      </c>
      <c r="C148">
        <v>474</v>
      </c>
      <c r="D148">
        <v>100</v>
      </c>
      <c r="E148">
        <f t="shared" si="16"/>
        <v>47400</v>
      </c>
      <c r="F148" s="101" t="s">
        <v>18</v>
      </c>
      <c r="G148">
        <v>85</v>
      </c>
      <c r="H148">
        <v>2000</v>
      </c>
      <c r="I148">
        <f t="shared" si="17"/>
        <v>217400</v>
      </c>
      <c r="J148" s="45">
        <v>5000</v>
      </c>
      <c r="K148" s="60">
        <f t="shared" si="18"/>
        <v>16740</v>
      </c>
      <c r="L148" s="61">
        <f t="shared" si="19"/>
        <v>43480</v>
      </c>
      <c r="M148" s="62">
        <f t="shared" si="20"/>
        <v>4227.2222222222226</v>
      </c>
      <c r="N148">
        <v>250</v>
      </c>
      <c r="O148">
        <f t="shared" si="21"/>
        <v>24637.5</v>
      </c>
      <c r="P148" s="66">
        <f t="shared" si="22"/>
        <v>11.332796688132476</v>
      </c>
      <c r="Q148" s="66">
        <f t="shared" si="23"/>
        <v>8.8239472349061394</v>
      </c>
    </row>
    <row r="149" spans="1:17" x14ac:dyDescent="0.3">
      <c r="A149" s="67"/>
      <c r="E149" s="103"/>
      <c r="F149" s="101"/>
      <c r="I149" s="103"/>
      <c r="P149" s="71"/>
      <c r="Q149" s="71"/>
    </row>
    <row r="150" spans="1:17" x14ac:dyDescent="0.3">
      <c r="A150" s="67"/>
      <c r="B150" s="67"/>
      <c r="C150" s="102"/>
      <c r="F150" s="101"/>
    </row>
    <row r="151" spans="1:17" ht="86.4" x14ac:dyDescent="0.3">
      <c r="A151" s="48"/>
      <c r="B151" s="1" t="s">
        <v>0</v>
      </c>
      <c r="C151" s="1" t="s">
        <v>1</v>
      </c>
      <c r="D151" s="2" t="s">
        <v>2</v>
      </c>
      <c r="E151" s="2" t="s">
        <v>3</v>
      </c>
      <c r="F151" s="3" t="s">
        <v>4</v>
      </c>
      <c r="G151" s="1" t="s">
        <v>5</v>
      </c>
      <c r="H151" s="4" t="s">
        <v>6</v>
      </c>
      <c r="I151" s="5" t="s">
        <v>7</v>
      </c>
      <c r="J151" s="2" t="s">
        <v>8</v>
      </c>
      <c r="K151" s="6" t="s">
        <v>9</v>
      </c>
      <c r="L151" s="7" t="s">
        <v>10</v>
      </c>
      <c r="M151" s="8" t="s">
        <v>11</v>
      </c>
      <c r="N151" s="1" t="s">
        <v>199</v>
      </c>
      <c r="O151" s="1" t="s">
        <v>201</v>
      </c>
      <c r="P151" s="10" t="s">
        <v>15</v>
      </c>
      <c r="Q151" s="10" t="s">
        <v>202</v>
      </c>
    </row>
    <row r="152" spans="1:17" ht="72" x14ac:dyDescent="0.3">
      <c r="A152" s="44"/>
      <c r="B152" s="84" t="s">
        <v>167</v>
      </c>
      <c r="C152" s="84">
        <v>649.29999999999995</v>
      </c>
      <c r="D152" s="84">
        <v>60</v>
      </c>
      <c r="E152" s="84">
        <f t="shared" ref="E152:E182" si="24">D152*C152</f>
        <v>38958</v>
      </c>
      <c r="F152" s="101" t="s">
        <v>204</v>
      </c>
      <c r="G152">
        <v>110</v>
      </c>
      <c r="H152">
        <v>2000</v>
      </c>
      <c r="I152">
        <f t="shared" ref="I152:I182" si="25">H152*G152+E152</f>
        <v>258958</v>
      </c>
      <c r="J152" s="45">
        <v>5000</v>
      </c>
      <c r="K152" s="60">
        <f t="shared" ref="K152:K182" si="26">(I152*0.1)-J152</f>
        <v>20895.800000000003</v>
      </c>
      <c r="L152" s="61">
        <f t="shared" ref="L152:L182" si="27">I152*0.2</f>
        <v>51791.600000000006</v>
      </c>
      <c r="M152" s="62">
        <f t="shared" ref="M152:M182" si="28">(I152-J152-K152-L152)/36</f>
        <v>5035.2944444444447</v>
      </c>
      <c r="N152">
        <v>300</v>
      </c>
      <c r="O152">
        <f t="shared" ref="O152:O182" si="29">(N152*365*0.45)*0.6</f>
        <v>29565</v>
      </c>
      <c r="P152" s="66">
        <f t="shared" ref="P152:P182" si="30">(O152/I152)*100</f>
        <v>11.416909305756146</v>
      </c>
      <c r="Q152" s="66">
        <f t="shared" ref="Q152:Q182" si="31">I152/O152</f>
        <v>8.7589379333671573</v>
      </c>
    </row>
    <row r="153" spans="1:17" ht="72" x14ac:dyDescent="0.3">
      <c r="A153" s="44"/>
      <c r="B153" s="84" t="s">
        <v>168</v>
      </c>
      <c r="C153" s="84">
        <v>901.9</v>
      </c>
      <c r="D153" s="84">
        <v>60</v>
      </c>
      <c r="E153" s="84">
        <f t="shared" si="24"/>
        <v>54114</v>
      </c>
      <c r="F153" s="101" t="s">
        <v>204</v>
      </c>
      <c r="G153">
        <v>110</v>
      </c>
      <c r="H153">
        <v>2000</v>
      </c>
      <c r="I153">
        <f t="shared" si="25"/>
        <v>274114</v>
      </c>
      <c r="J153" s="45">
        <v>5000</v>
      </c>
      <c r="K153" s="60">
        <f t="shared" si="26"/>
        <v>22411.4</v>
      </c>
      <c r="L153" s="61">
        <f t="shared" si="27"/>
        <v>54822.8</v>
      </c>
      <c r="M153" s="62">
        <f t="shared" si="28"/>
        <v>5329.9944444444445</v>
      </c>
      <c r="N153">
        <v>300</v>
      </c>
      <c r="O153">
        <f t="shared" si="29"/>
        <v>29565</v>
      </c>
      <c r="P153" s="66">
        <f t="shared" si="30"/>
        <v>10.785658521636982</v>
      </c>
      <c r="Q153" s="66">
        <f t="shared" si="31"/>
        <v>9.2715711144934883</v>
      </c>
    </row>
    <row r="154" spans="1:17" ht="28.8" x14ac:dyDescent="0.3">
      <c r="A154" s="65"/>
      <c r="B154" t="s">
        <v>169</v>
      </c>
      <c r="C154">
        <v>514.20000000000005</v>
      </c>
      <c r="D154">
        <v>60</v>
      </c>
      <c r="E154">
        <f t="shared" si="24"/>
        <v>30852.000000000004</v>
      </c>
      <c r="F154" s="101" t="s">
        <v>18</v>
      </c>
      <c r="G154">
        <v>85</v>
      </c>
      <c r="H154">
        <v>2000</v>
      </c>
      <c r="I154">
        <f t="shared" si="25"/>
        <v>200852</v>
      </c>
      <c r="J154" s="45">
        <v>5000</v>
      </c>
      <c r="K154" s="60">
        <f t="shared" si="26"/>
        <v>15085.2</v>
      </c>
      <c r="L154" s="61">
        <f t="shared" si="27"/>
        <v>40170.400000000001</v>
      </c>
      <c r="M154" s="62">
        <f t="shared" si="28"/>
        <v>3905.4555555555553</v>
      </c>
      <c r="N154">
        <v>250</v>
      </c>
      <c r="O154">
        <f t="shared" si="29"/>
        <v>24637.5</v>
      </c>
      <c r="P154" s="66">
        <f t="shared" si="30"/>
        <v>12.266494732439806</v>
      </c>
      <c r="Q154" s="66">
        <f t="shared" si="31"/>
        <v>8.1522881785895489</v>
      </c>
    </row>
    <row r="155" spans="1:17" ht="57.6" x14ac:dyDescent="0.3">
      <c r="A155" s="65"/>
      <c r="B155" t="s">
        <v>170</v>
      </c>
      <c r="C155">
        <v>337.5</v>
      </c>
      <c r="D155">
        <v>60</v>
      </c>
      <c r="E155">
        <f t="shared" si="24"/>
        <v>20250</v>
      </c>
      <c r="F155" s="101" t="s">
        <v>215</v>
      </c>
      <c r="G155">
        <v>55</v>
      </c>
      <c r="H155">
        <v>2000</v>
      </c>
      <c r="I155">
        <f t="shared" si="25"/>
        <v>130250</v>
      </c>
      <c r="J155" s="45">
        <v>5000</v>
      </c>
      <c r="K155" s="60">
        <f t="shared" si="26"/>
        <v>8025</v>
      </c>
      <c r="L155" s="61">
        <f t="shared" si="27"/>
        <v>26050</v>
      </c>
      <c r="M155" s="62">
        <f t="shared" si="28"/>
        <v>2532.6388888888887</v>
      </c>
      <c r="N155">
        <v>150</v>
      </c>
      <c r="O155">
        <f t="shared" si="29"/>
        <v>14782.5</v>
      </c>
      <c r="P155" s="66">
        <f t="shared" si="30"/>
        <v>11.349328214971209</v>
      </c>
      <c r="Q155" s="66">
        <f t="shared" si="31"/>
        <v>8.8110941992220528</v>
      </c>
    </row>
    <row r="156" spans="1:17" ht="57.6" x14ac:dyDescent="0.3">
      <c r="A156" s="65"/>
      <c r="B156" t="s">
        <v>171</v>
      </c>
      <c r="C156">
        <v>396.9</v>
      </c>
      <c r="D156">
        <v>60</v>
      </c>
      <c r="E156">
        <f t="shared" si="24"/>
        <v>23814</v>
      </c>
      <c r="F156" s="101" t="s">
        <v>215</v>
      </c>
      <c r="G156">
        <v>55</v>
      </c>
      <c r="H156">
        <v>2000</v>
      </c>
      <c r="I156">
        <f t="shared" si="25"/>
        <v>133814</v>
      </c>
      <c r="J156" s="45">
        <v>5000</v>
      </c>
      <c r="K156" s="60">
        <f t="shared" si="26"/>
        <v>8381.4000000000015</v>
      </c>
      <c r="L156" s="61">
        <f t="shared" si="27"/>
        <v>26762.800000000003</v>
      </c>
      <c r="M156" s="62">
        <f t="shared" si="28"/>
        <v>2601.9388888888889</v>
      </c>
      <c r="N156">
        <v>150</v>
      </c>
      <c r="O156">
        <f t="shared" si="29"/>
        <v>14782.5</v>
      </c>
      <c r="P156" s="66">
        <f t="shared" si="30"/>
        <v>11.047050383367958</v>
      </c>
      <c r="Q156" s="66">
        <f t="shared" si="31"/>
        <v>9.0521900896330116</v>
      </c>
    </row>
    <row r="157" spans="1:17" ht="57.6" x14ac:dyDescent="0.3">
      <c r="A157" s="65"/>
      <c r="B157" t="s">
        <v>172</v>
      </c>
      <c r="C157">
        <v>417.9</v>
      </c>
      <c r="D157">
        <v>60</v>
      </c>
      <c r="E157">
        <f t="shared" si="24"/>
        <v>25074</v>
      </c>
      <c r="F157" s="101" t="s">
        <v>215</v>
      </c>
      <c r="G157">
        <v>55</v>
      </c>
      <c r="H157">
        <v>2000</v>
      </c>
      <c r="I157">
        <f t="shared" si="25"/>
        <v>135074</v>
      </c>
      <c r="J157" s="45">
        <v>5000</v>
      </c>
      <c r="K157" s="60">
        <f t="shared" si="26"/>
        <v>8507.4000000000015</v>
      </c>
      <c r="L157" s="61">
        <f t="shared" si="27"/>
        <v>27014.800000000003</v>
      </c>
      <c r="M157" s="62">
        <f t="shared" si="28"/>
        <v>2626.4388888888889</v>
      </c>
      <c r="N157">
        <v>150</v>
      </c>
      <c r="O157">
        <f t="shared" si="29"/>
        <v>14782.5</v>
      </c>
      <c r="P157" s="66">
        <f t="shared" si="30"/>
        <v>10.944001066082295</v>
      </c>
      <c r="Q157" s="66">
        <f t="shared" si="31"/>
        <v>9.1374260104853704</v>
      </c>
    </row>
    <row r="158" spans="1:17" ht="57.6" x14ac:dyDescent="0.3">
      <c r="A158" s="65"/>
      <c r="B158" t="s">
        <v>173</v>
      </c>
      <c r="C158">
        <v>412.8</v>
      </c>
      <c r="D158">
        <v>60</v>
      </c>
      <c r="E158">
        <f t="shared" si="24"/>
        <v>24768</v>
      </c>
      <c r="F158" s="101" t="s">
        <v>215</v>
      </c>
      <c r="G158">
        <v>55</v>
      </c>
      <c r="H158">
        <v>2000</v>
      </c>
      <c r="I158">
        <f t="shared" si="25"/>
        <v>134768</v>
      </c>
      <c r="J158" s="45">
        <v>5000</v>
      </c>
      <c r="K158" s="60">
        <f t="shared" si="26"/>
        <v>8476.8000000000011</v>
      </c>
      <c r="L158" s="61">
        <f t="shared" si="27"/>
        <v>26953.600000000002</v>
      </c>
      <c r="M158" s="62">
        <f t="shared" si="28"/>
        <v>2620.4888888888886</v>
      </c>
      <c r="N158">
        <v>150</v>
      </c>
      <c r="O158">
        <f t="shared" si="29"/>
        <v>14782.5</v>
      </c>
      <c r="P158" s="66">
        <f t="shared" si="30"/>
        <v>10.968850172147691</v>
      </c>
      <c r="Q158" s="66">
        <f t="shared" si="31"/>
        <v>9.1167258582783699</v>
      </c>
    </row>
    <row r="159" spans="1:17" ht="28.8" x14ac:dyDescent="0.3">
      <c r="A159" s="65"/>
      <c r="B159" t="s">
        <v>174</v>
      </c>
      <c r="C159">
        <v>590.5</v>
      </c>
      <c r="D159">
        <v>60</v>
      </c>
      <c r="E159">
        <f t="shared" si="24"/>
        <v>35430</v>
      </c>
      <c r="F159" s="101" t="s">
        <v>308</v>
      </c>
      <c r="G159">
        <v>85</v>
      </c>
      <c r="H159">
        <v>2000</v>
      </c>
      <c r="I159">
        <f t="shared" si="25"/>
        <v>205430</v>
      </c>
      <c r="J159" s="45">
        <v>5000</v>
      </c>
      <c r="K159" s="60">
        <f t="shared" si="26"/>
        <v>15543</v>
      </c>
      <c r="L159" s="61">
        <f t="shared" si="27"/>
        <v>41086</v>
      </c>
      <c r="M159" s="62">
        <f t="shared" si="28"/>
        <v>3994.4722222222222</v>
      </c>
      <c r="N159">
        <v>250</v>
      </c>
      <c r="O159">
        <f t="shared" si="29"/>
        <v>24637.5</v>
      </c>
      <c r="P159" s="66">
        <f t="shared" si="30"/>
        <v>11.993136348147788</v>
      </c>
      <c r="Q159" s="66">
        <f t="shared" si="31"/>
        <v>8.338102486047692</v>
      </c>
    </row>
    <row r="160" spans="1:17" ht="28.8" x14ac:dyDescent="0.3">
      <c r="A160" s="65"/>
      <c r="B160" t="s">
        <v>175</v>
      </c>
      <c r="C160">
        <v>558.5</v>
      </c>
      <c r="D160">
        <v>60</v>
      </c>
      <c r="E160">
        <f t="shared" si="24"/>
        <v>33510</v>
      </c>
      <c r="F160" s="101" t="s">
        <v>308</v>
      </c>
      <c r="G160">
        <v>85</v>
      </c>
      <c r="H160">
        <v>2000</v>
      </c>
      <c r="I160">
        <f t="shared" si="25"/>
        <v>203510</v>
      </c>
      <c r="J160" s="45">
        <v>5000</v>
      </c>
      <c r="K160" s="60">
        <f t="shared" si="26"/>
        <v>15351</v>
      </c>
      <c r="L160" s="61">
        <f t="shared" si="27"/>
        <v>40702</v>
      </c>
      <c r="M160" s="62">
        <f t="shared" si="28"/>
        <v>3957.1388888888887</v>
      </c>
      <c r="N160">
        <v>250</v>
      </c>
      <c r="O160">
        <f t="shared" si="29"/>
        <v>24637.5</v>
      </c>
      <c r="P160" s="66">
        <f t="shared" si="30"/>
        <v>12.106284703454376</v>
      </c>
      <c r="Q160" s="66">
        <f t="shared" si="31"/>
        <v>8.2601725012683911</v>
      </c>
    </row>
    <row r="161" spans="1:17" ht="57.6" x14ac:dyDescent="0.3">
      <c r="A161" s="65"/>
      <c r="B161" t="s">
        <v>176</v>
      </c>
      <c r="C161">
        <v>408.2</v>
      </c>
      <c r="D161">
        <v>60</v>
      </c>
      <c r="E161">
        <f t="shared" si="24"/>
        <v>24492</v>
      </c>
      <c r="F161" s="101" t="s">
        <v>215</v>
      </c>
      <c r="G161">
        <v>55</v>
      </c>
      <c r="H161">
        <v>2000</v>
      </c>
      <c r="I161">
        <f t="shared" si="25"/>
        <v>134492</v>
      </c>
      <c r="J161" s="45">
        <v>5000</v>
      </c>
      <c r="K161" s="60">
        <f t="shared" si="26"/>
        <v>8449.2000000000007</v>
      </c>
      <c r="L161" s="61">
        <f t="shared" si="27"/>
        <v>26898.400000000001</v>
      </c>
      <c r="M161" s="62">
        <f t="shared" si="28"/>
        <v>2615.1222222222223</v>
      </c>
      <c r="N161">
        <v>150</v>
      </c>
      <c r="O161">
        <f t="shared" si="29"/>
        <v>14782.5</v>
      </c>
      <c r="P161" s="66">
        <f t="shared" si="30"/>
        <v>10.991360080897005</v>
      </c>
      <c r="Q161" s="66">
        <f t="shared" si="31"/>
        <v>9.0980551327583292</v>
      </c>
    </row>
    <row r="162" spans="1:17" ht="57.6" x14ac:dyDescent="0.3">
      <c r="A162" s="65"/>
      <c r="B162" t="s">
        <v>177</v>
      </c>
      <c r="C162">
        <v>399</v>
      </c>
      <c r="D162">
        <v>60</v>
      </c>
      <c r="E162">
        <f t="shared" si="24"/>
        <v>23940</v>
      </c>
      <c r="F162" s="101" t="s">
        <v>215</v>
      </c>
      <c r="G162">
        <v>55</v>
      </c>
      <c r="H162">
        <v>2000</v>
      </c>
      <c r="I162">
        <f t="shared" si="25"/>
        <v>133940</v>
      </c>
      <c r="J162" s="45">
        <v>5000</v>
      </c>
      <c r="K162" s="60">
        <f t="shared" si="26"/>
        <v>8394</v>
      </c>
      <c r="L162" s="61">
        <f t="shared" si="27"/>
        <v>26788</v>
      </c>
      <c r="M162" s="62">
        <f t="shared" si="28"/>
        <v>2604.3888888888887</v>
      </c>
      <c r="N162">
        <v>150</v>
      </c>
      <c r="O162">
        <f t="shared" si="29"/>
        <v>14782.5</v>
      </c>
      <c r="P162" s="66">
        <f t="shared" si="30"/>
        <v>11.036658205166493</v>
      </c>
      <c r="Q162" s="66">
        <f t="shared" si="31"/>
        <v>9.0607136817182479</v>
      </c>
    </row>
    <row r="163" spans="1:17" ht="57.6" x14ac:dyDescent="0.3">
      <c r="A163" s="65"/>
      <c r="B163" t="s">
        <v>178</v>
      </c>
      <c r="C163">
        <v>389.8</v>
      </c>
      <c r="D163">
        <v>60</v>
      </c>
      <c r="E163">
        <f t="shared" si="24"/>
        <v>23388</v>
      </c>
      <c r="F163" s="101" t="s">
        <v>215</v>
      </c>
      <c r="G163">
        <v>55</v>
      </c>
      <c r="H163">
        <v>2000</v>
      </c>
      <c r="I163">
        <f t="shared" si="25"/>
        <v>133388</v>
      </c>
      <c r="J163" s="45">
        <v>5000</v>
      </c>
      <c r="K163" s="60">
        <f t="shared" si="26"/>
        <v>8338.8000000000011</v>
      </c>
      <c r="L163" s="61">
        <f t="shared" si="27"/>
        <v>26677.600000000002</v>
      </c>
      <c r="M163" s="62">
        <f t="shared" si="28"/>
        <v>2593.6555555555551</v>
      </c>
      <c r="N163">
        <v>150</v>
      </c>
      <c r="O163">
        <f t="shared" si="29"/>
        <v>14782.5</v>
      </c>
      <c r="P163" s="66">
        <f t="shared" si="30"/>
        <v>11.082331244189882</v>
      </c>
      <c r="Q163" s="66">
        <f t="shared" si="31"/>
        <v>9.0233722306781665</v>
      </c>
    </row>
    <row r="164" spans="1:17" ht="57.6" x14ac:dyDescent="0.3">
      <c r="A164" s="65"/>
      <c r="B164" t="s">
        <v>179</v>
      </c>
      <c r="C164">
        <v>380.5</v>
      </c>
      <c r="D164">
        <v>60</v>
      </c>
      <c r="E164">
        <f t="shared" si="24"/>
        <v>22830</v>
      </c>
      <c r="F164" s="101" t="s">
        <v>215</v>
      </c>
      <c r="G164">
        <v>55</v>
      </c>
      <c r="H164">
        <v>2000</v>
      </c>
      <c r="I164">
        <f t="shared" si="25"/>
        <v>132830</v>
      </c>
      <c r="J164" s="45">
        <v>5000</v>
      </c>
      <c r="K164" s="60">
        <f t="shared" si="26"/>
        <v>8283</v>
      </c>
      <c r="L164" s="61">
        <f t="shared" si="27"/>
        <v>26566</v>
      </c>
      <c r="M164" s="62">
        <f t="shared" si="28"/>
        <v>2582.8055555555557</v>
      </c>
      <c r="N164">
        <v>150</v>
      </c>
      <c r="O164">
        <f t="shared" si="29"/>
        <v>14782.5</v>
      </c>
      <c r="P164" s="66">
        <f t="shared" si="30"/>
        <v>11.128886546713845</v>
      </c>
      <c r="Q164" s="66">
        <f t="shared" si="31"/>
        <v>8.9856248943006936</v>
      </c>
    </row>
    <row r="165" spans="1:17" ht="57.6" x14ac:dyDescent="0.3">
      <c r="A165" s="65"/>
      <c r="B165" t="s">
        <v>180</v>
      </c>
      <c r="C165">
        <v>372.3</v>
      </c>
      <c r="D165">
        <v>60</v>
      </c>
      <c r="E165">
        <f t="shared" si="24"/>
        <v>22338</v>
      </c>
      <c r="F165" s="101" t="s">
        <v>215</v>
      </c>
      <c r="G165">
        <v>55</v>
      </c>
      <c r="H165">
        <v>2000</v>
      </c>
      <c r="I165">
        <f t="shared" si="25"/>
        <v>132338</v>
      </c>
      <c r="J165" s="45">
        <v>5000</v>
      </c>
      <c r="K165" s="60">
        <f t="shared" si="26"/>
        <v>8233.8000000000011</v>
      </c>
      <c r="L165" s="61">
        <f t="shared" si="27"/>
        <v>26467.600000000002</v>
      </c>
      <c r="M165" s="62">
        <f t="shared" si="28"/>
        <v>2573.2388888888886</v>
      </c>
      <c r="N165">
        <v>150</v>
      </c>
      <c r="O165">
        <f t="shared" si="29"/>
        <v>14782.5</v>
      </c>
      <c r="P165" s="66">
        <f t="shared" si="30"/>
        <v>11.170260998352703</v>
      </c>
      <c r="Q165" s="66">
        <f t="shared" si="31"/>
        <v>8.9523422966345336</v>
      </c>
    </row>
    <row r="166" spans="1:17" ht="57.6" x14ac:dyDescent="0.3">
      <c r="A166" s="65"/>
      <c r="B166" t="s">
        <v>181</v>
      </c>
      <c r="C166">
        <v>370.5</v>
      </c>
      <c r="D166">
        <v>60</v>
      </c>
      <c r="E166">
        <f t="shared" si="24"/>
        <v>22230</v>
      </c>
      <c r="F166" s="101" t="s">
        <v>215</v>
      </c>
      <c r="G166">
        <v>55</v>
      </c>
      <c r="H166">
        <v>2000</v>
      </c>
      <c r="I166">
        <f t="shared" si="25"/>
        <v>132230</v>
      </c>
      <c r="J166" s="45">
        <v>5000</v>
      </c>
      <c r="K166" s="60">
        <f t="shared" si="26"/>
        <v>8223</v>
      </c>
      <c r="L166" s="61">
        <f t="shared" si="27"/>
        <v>26446</v>
      </c>
      <c r="M166" s="62">
        <f t="shared" si="28"/>
        <v>2571.1388888888887</v>
      </c>
      <c r="N166">
        <v>150</v>
      </c>
      <c r="O166">
        <f t="shared" si="29"/>
        <v>14782.5</v>
      </c>
      <c r="P166" s="66">
        <f t="shared" si="30"/>
        <v>11.179384405959315</v>
      </c>
      <c r="Q166" s="66">
        <f t="shared" si="31"/>
        <v>8.945036360561474</v>
      </c>
    </row>
    <row r="167" spans="1:17" ht="57.6" x14ac:dyDescent="0.3">
      <c r="A167" s="65"/>
      <c r="B167" t="s">
        <v>182</v>
      </c>
      <c r="C167">
        <v>369.8</v>
      </c>
      <c r="D167">
        <v>60</v>
      </c>
      <c r="E167">
        <f t="shared" si="24"/>
        <v>22188</v>
      </c>
      <c r="F167" s="101" t="s">
        <v>215</v>
      </c>
      <c r="G167">
        <v>55</v>
      </c>
      <c r="H167">
        <v>2000</v>
      </c>
      <c r="I167">
        <f t="shared" si="25"/>
        <v>132188</v>
      </c>
      <c r="J167" s="45">
        <v>5000</v>
      </c>
      <c r="K167" s="60">
        <f t="shared" si="26"/>
        <v>8218.8000000000011</v>
      </c>
      <c r="L167" s="61">
        <f t="shared" si="27"/>
        <v>26437.600000000002</v>
      </c>
      <c r="M167" s="62">
        <f t="shared" si="28"/>
        <v>2570.3222222222221</v>
      </c>
      <c r="N167">
        <v>150</v>
      </c>
      <c r="O167">
        <f t="shared" si="29"/>
        <v>14782.5</v>
      </c>
      <c r="P167" s="66">
        <f t="shared" si="30"/>
        <v>11.182936423881138</v>
      </c>
      <c r="Q167" s="66">
        <f t="shared" si="31"/>
        <v>8.9421951631997292</v>
      </c>
    </row>
    <row r="168" spans="1:17" ht="57.6" x14ac:dyDescent="0.3">
      <c r="A168" s="65"/>
      <c r="B168" t="s">
        <v>183</v>
      </c>
      <c r="C168">
        <v>369.1</v>
      </c>
      <c r="D168">
        <v>60</v>
      </c>
      <c r="E168">
        <f t="shared" si="24"/>
        <v>22146</v>
      </c>
      <c r="F168" s="101" t="s">
        <v>215</v>
      </c>
      <c r="G168">
        <v>55</v>
      </c>
      <c r="H168">
        <v>2000</v>
      </c>
      <c r="I168">
        <f t="shared" si="25"/>
        <v>132146</v>
      </c>
      <c r="J168" s="45">
        <v>5000</v>
      </c>
      <c r="K168" s="60">
        <f t="shared" si="26"/>
        <v>8214.6</v>
      </c>
      <c r="L168" s="61">
        <f t="shared" si="27"/>
        <v>26429.200000000001</v>
      </c>
      <c r="M168" s="62">
        <f t="shared" si="28"/>
        <v>2569.5055555555555</v>
      </c>
      <c r="N168">
        <v>150</v>
      </c>
      <c r="O168">
        <f t="shared" si="29"/>
        <v>14782.5</v>
      </c>
      <c r="P168" s="66">
        <f t="shared" si="30"/>
        <v>11.186490699680657</v>
      </c>
      <c r="Q168" s="66">
        <f t="shared" si="31"/>
        <v>8.9393539658379844</v>
      </c>
    </row>
    <row r="169" spans="1:17" ht="57.6" x14ac:dyDescent="0.3">
      <c r="A169" s="65"/>
      <c r="B169" t="s">
        <v>184</v>
      </c>
      <c r="C169">
        <v>369.1</v>
      </c>
      <c r="D169">
        <v>60</v>
      </c>
      <c r="E169">
        <f t="shared" si="24"/>
        <v>22146</v>
      </c>
      <c r="F169" s="101" t="s">
        <v>215</v>
      </c>
      <c r="G169">
        <v>55</v>
      </c>
      <c r="H169">
        <v>2000</v>
      </c>
      <c r="I169">
        <f t="shared" si="25"/>
        <v>132146</v>
      </c>
      <c r="J169" s="45">
        <v>5000</v>
      </c>
      <c r="K169" s="60">
        <f t="shared" si="26"/>
        <v>8214.6</v>
      </c>
      <c r="L169" s="61">
        <f t="shared" si="27"/>
        <v>26429.200000000001</v>
      </c>
      <c r="M169" s="62">
        <f t="shared" si="28"/>
        <v>2569.5055555555555</v>
      </c>
      <c r="N169">
        <v>150</v>
      </c>
      <c r="O169">
        <f t="shared" si="29"/>
        <v>14782.5</v>
      </c>
      <c r="P169" s="66">
        <f t="shared" si="30"/>
        <v>11.186490699680657</v>
      </c>
      <c r="Q169" s="66">
        <f t="shared" si="31"/>
        <v>8.9393539658379844</v>
      </c>
    </row>
    <row r="170" spans="1:17" ht="57.6" x14ac:dyDescent="0.3">
      <c r="A170" s="65"/>
      <c r="B170" t="s">
        <v>185</v>
      </c>
      <c r="C170">
        <v>379.4</v>
      </c>
      <c r="D170">
        <v>60</v>
      </c>
      <c r="E170">
        <f t="shared" si="24"/>
        <v>22764</v>
      </c>
      <c r="F170" s="101" t="s">
        <v>215</v>
      </c>
      <c r="G170">
        <v>55</v>
      </c>
      <c r="H170">
        <v>2000</v>
      </c>
      <c r="I170">
        <f t="shared" si="25"/>
        <v>132764</v>
      </c>
      <c r="J170" s="45">
        <v>5000</v>
      </c>
      <c r="K170" s="60">
        <f t="shared" si="26"/>
        <v>8276.4000000000015</v>
      </c>
      <c r="L170" s="61">
        <f t="shared" si="27"/>
        <v>26552.800000000003</v>
      </c>
      <c r="M170" s="62">
        <f t="shared" si="28"/>
        <v>2581.5222222222224</v>
      </c>
      <c r="N170">
        <v>150</v>
      </c>
      <c r="O170">
        <f t="shared" si="29"/>
        <v>14782.5</v>
      </c>
      <c r="P170" s="66">
        <f t="shared" si="30"/>
        <v>11.13441896899762</v>
      </c>
      <c r="Q170" s="66">
        <f t="shared" si="31"/>
        <v>8.9811601555893787</v>
      </c>
    </row>
    <row r="171" spans="1:17" ht="57.6" x14ac:dyDescent="0.3">
      <c r="A171" s="65"/>
      <c r="B171" t="s">
        <v>186</v>
      </c>
      <c r="C171">
        <v>392.9</v>
      </c>
      <c r="D171">
        <v>60</v>
      </c>
      <c r="E171">
        <f t="shared" si="24"/>
        <v>23574</v>
      </c>
      <c r="F171" s="101" t="s">
        <v>215</v>
      </c>
      <c r="G171">
        <v>55</v>
      </c>
      <c r="H171">
        <v>2000</v>
      </c>
      <c r="I171">
        <f t="shared" si="25"/>
        <v>133574</v>
      </c>
      <c r="J171" s="45">
        <v>5000</v>
      </c>
      <c r="K171" s="60">
        <f t="shared" si="26"/>
        <v>8357.4000000000015</v>
      </c>
      <c r="L171" s="61">
        <f t="shared" si="27"/>
        <v>26714.800000000003</v>
      </c>
      <c r="M171" s="62">
        <f t="shared" si="28"/>
        <v>2597.2722222222224</v>
      </c>
      <c r="N171">
        <v>150</v>
      </c>
      <c r="O171">
        <f t="shared" si="29"/>
        <v>14782.5</v>
      </c>
      <c r="P171" s="66">
        <f t="shared" si="30"/>
        <v>11.066899246859418</v>
      </c>
      <c r="Q171" s="66">
        <f t="shared" si="31"/>
        <v>9.0359546761373242</v>
      </c>
    </row>
    <row r="172" spans="1:17" ht="57.6" x14ac:dyDescent="0.3">
      <c r="A172" s="65"/>
      <c r="B172" t="s">
        <v>187</v>
      </c>
      <c r="C172">
        <v>398.4</v>
      </c>
      <c r="D172">
        <v>60</v>
      </c>
      <c r="E172">
        <f t="shared" si="24"/>
        <v>23904</v>
      </c>
      <c r="F172" s="101" t="s">
        <v>215</v>
      </c>
      <c r="G172">
        <v>55</v>
      </c>
      <c r="H172">
        <v>2000</v>
      </c>
      <c r="I172">
        <f t="shared" si="25"/>
        <v>133904</v>
      </c>
      <c r="J172" s="45">
        <v>5000</v>
      </c>
      <c r="K172" s="60">
        <f t="shared" si="26"/>
        <v>8390.4000000000015</v>
      </c>
      <c r="L172" s="61">
        <f t="shared" si="27"/>
        <v>26780.800000000003</v>
      </c>
      <c r="M172" s="62">
        <f t="shared" si="28"/>
        <v>2603.6888888888889</v>
      </c>
      <c r="N172">
        <v>150</v>
      </c>
      <c r="O172">
        <f t="shared" si="29"/>
        <v>14782.5</v>
      </c>
      <c r="P172" s="66">
        <f t="shared" si="30"/>
        <v>11.039625403273988</v>
      </c>
      <c r="Q172" s="66">
        <f t="shared" si="31"/>
        <v>9.0582783696938947</v>
      </c>
    </row>
    <row r="173" spans="1:17" ht="57.6" x14ac:dyDescent="0.3">
      <c r="A173" s="65"/>
      <c r="B173" t="s">
        <v>188</v>
      </c>
      <c r="C173">
        <v>377</v>
      </c>
      <c r="D173">
        <v>60</v>
      </c>
      <c r="E173">
        <f t="shared" si="24"/>
        <v>22620</v>
      </c>
      <c r="F173" s="101" t="s">
        <v>215</v>
      </c>
      <c r="G173">
        <v>55</v>
      </c>
      <c r="H173">
        <v>2000</v>
      </c>
      <c r="I173">
        <f t="shared" si="25"/>
        <v>132620</v>
      </c>
      <c r="J173" s="45">
        <v>5000</v>
      </c>
      <c r="K173" s="60">
        <f t="shared" si="26"/>
        <v>8262</v>
      </c>
      <c r="L173" s="61">
        <f t="shared" si="27"/>
        <v>26524</v>
      </c>
      <c r="M173" s="62">
        <f t="shared" si="28"/>
        <v>2578.7222222222222</v>
      </c>
      <c r="N173">
        <v>150</v>
      </c>
      <c r="O173">
        <f t="shared" si="29"/>
        <v>14782.5</v>
      </c>
      <c r="P173" s="66">
        <f t="shared" si="30"/>
        <v>11.146508822198765</v>
      </c>
      <c r="Q173" s="66">
        <f t="shared" si="31"/>
        <v>8.9714189074919677</v>
      </c>
    </row>
    <row r="174" spans="1:17" ht="57.6" x14ac:dyDescent="0.3">
      <c r="A174" s="65"/>
      <c r="B174" t="s">
        <v>189</v>
      </c>
      <c r="C174">
        <v>342.3</v>
      </c>
      <c r="D174">
        <v>60</v>
      </c>
      <c r="E174">
        <f t="shared" si="24"/>
        <v>20538</v>
      </c>
      <c r="F174" s="101" t="s">
        <v>215</v>
      </c>
      <c r="G174">
        <v>55</v>
      </c>
      <c r="H174">
        <v>2000</v>
      </c>
      <c r="I174">
        <f t="shared" si="25"/>
        <v>130538</v>
      </c>
      <c r="J174" s="45">
        <v>5000</v>
      </c>
      <c r="K174" s="60">
        <f t="shared" si="26"/>
        <v>8053.8000000000011</v>
      </c>
      <c r="L174" s="61">
        <f t="shared" si="27"/>
        <v>26107.600000000002</v>
      </c>
      <c r="M174" s="62">
        <f t="shared" si="28"/>
        <v>2538.2388888888886</v>
      </c>
      <c r="N174">
        <v>150</v>
      </c>
      <c r="O174">
        <f t="shared" si="29"/>
        <v>14782.5</v>
      </c>
      <c r="P174" s="66">
        <f t="shared" si="30"/>
        <v>11.324288712865219</v>
      </c>
      <c r="Q174" s="66">
        <f t="shared" si="31"/>
        <v>8.8305766954168785</v>
      </c>
    </row>
    <row r="175" spans="1:17" ht="57.6" x14ac:dyDescent="0.3">
      <c r="A175" s="65"/>
      <c r="B175" t="s">
        <v>190</v>
      </c>
      <c r="C175">
        <v>430.3</v>
      </c>
      <c r="D175">
        <v>60</v>
      </c>
      <c r="E175">
        <f t="shared" si="24"/>
        <v>25818</v>
      </c>
      <c r="F175" s="101" t="s">
        <v>215</v>
      </c>
      <c r="G175">
        <v>55</v>
      </c>
      <c r="H175">
        <v>2000</v>
      </c>
      <c r="I175">
        <f t="shared" si="25"/>
        <v>135818</v>
      </c>
      <c r="J175" s="45">
        <v>5000</v>
      </c>
      <c r="K175" s="60">
        <f t="shared" si="26"/>
        <v>8581.8000000000011</v>
      </c>
      <c r="L175" s="61">
        <f t="shared" si="27"/>
        <v>27163.600000000002</v>
      </c>
      <c r="M175" s="62">
        <f t="shared" si="28"/>
        <v>2640.9055555555551</v>
      </c>
      <c r="N175">
        <v>150</v>
      </c>
      <c r="O175">
        <f t="shared" si="29"/>
        <v>14782.5</v>
      </c>
      <c r="P175" s="66">
        <f t="shared" si="30"/>
        <v>10.88405071492733</v>
      </c>
      <c r="Q175" s="66">
        <f t="shared" si="31"/>
        <v>9.1877557923220028</v>
      </c>
    </row>
    <row r="176" spans="1:17" ht="57.6" x14ac:dyDescent="0.3">
      <c r="A176" s="65"/>
      <c r="B176" t="s">
        <v>191</v>
      </c>
      <c r="C176">
        <v>420</v>
      </c>
      <c r="D176">
        <v>80</v>
      </c>
      <c r="E176">
        <f t="shared" si="24"/>
        <v>33600</v>
      </c>
      <c r="F176" s="101" t="s">
        <v>215</v>
      </c>
      <c r="G176">
        <v>55</v>
      </c>
      <c r="H176">
        <v>2000</v>
      </c>
      <c r="I176">
        <f t="shared" si="25"/>
        <v>143600</v>
      </c>
      <c r="J176" s="45">
        <v>5000</v>
      </c>
      <c r="K176" s="60">
        <f t="shared" si="26"/>
        <v>9360</v>
      </c>
      <c r="L176" s="61">
        <f t="shared" si="27"/>
        <v>28720</v>
      </c>
      <c r="M176" s="62">
        <f t="shared" si="28"/>
        <v>2792.2222222222222</v>
      </c>
      <c r="N176">
        <v>150</v>
      </c>
      <c r="O176">
        <f t="shared" si="29"/>
        <v>14782.5</v>
      </c>
      <c r="P176" s="66">
        <f t="shared" si="30"/>
        <v>10.294220055710307</v>
      </c>
      <c r="Q176" s="66">
        <f t="shared" si="31"/>
        <v>9.714189074919668</v>
      </c>
    </row>
    <row r="177" spans="1:17" ht="57.6" x14ac:dyDescent="0.3">
      <c r="A177" s="65"/>
      <c r="B177" t="s">
        <v>192</v>
      </c>
      <c r="C177">
        <v>420</v>
      </c>
      <c r="D177">
        <v>80</v>
      </c>
      <c r="E177">
        <f t="shared" si="24"/>
        <v>33600</v>
      </c>
      <c r="F177" s="101" t="s">
        <v>215</v>
      </c>
      <c r="G177">
        <v>55</v>
      </c>
      <c r="H177">
        <v>2000</v>
      </c>
      <c r="I177">
        <f t="shared" si="25"/>
        <v>143600</v>
      </c>
      <c r="J177" s="45">
        <v>5000</v>
      </c>
      <c r="K177" s="60">
        <f t="shared" si="26"/>
        <v>9360</v>
      </c>
      <c r="L177" s="61">
        <f t="shared" si="27"/>
        <v>28720</v>
      </c>
      <c r="M177" s="62">
        <f t="shared" si="28"/>
        <v>2792.2222222222222</v>
      </c>
      <c r="N177">
        <v>150</v>
      </c>
      <c r="O177">
        <f t="shared" si="29"/>
        <v>14782.5</v>
      </c>
      <c r="P177" s="66">
        <f t="shared" si="30"/>
        <v>10.294220055710307</v>
      </c>
      <c r="Q177" s="66">
        <f t="shared" si="31"/>
        <v>9.714189074919668</v>
      </c>
    </row>
    <row r="178" spans="1:17" ht="57.6" x14ac:dyDescent="0.3">
      <c r="A178" s="65"/>
      <c r="B178" t="s">
        <v>193</v>
      </c>
      <c r="C178">
        <v>420</v>
      </c>
      <c r="D178">
        <v>80</v>
      </c>
      <c r="E178">
        <f t="shared" si="24"/>
        <v>33600</v>
      </c>
      <c r="F178" s="101" t="s">
        <v>215</v>
      </c>
      <c r="G178">
        <v>55</v>
      </c>
      <c r="H178">
        <v>2000</v>
      </c>
      <c r="I178">
        <f t="shared" si="25"/>
        <v>143600</v>
      </c>
      <c r="J178" s="45">
        <v>5000</v>
      </c>
      <c r="K178" s="60">
        <f t="shared" si="26"/>
        <v>9360</v>
      </c>
      <c r="L178" s="61">
        <f t="shared" si="27"/>
        <v>28720</v>
      </c>
      <c r="M178" s="62">
        <f t="shared" si="28"/>
        <v>2792.2222222222222</v>
      </c>
      <c r="N178">
        <v>150</v>
      </c>
      <c r="O178">
        <f t="shared" si="29"/>
        <v>14782.5</v>
      </c>
      <c r="P178" s="66">
        <f t="shared" si="30"/>
        <v>10.294220055710307</v>
      </c>
      <c r="Q178" s="66">
        <f t="shared" si="31"/>
        <v>9.714189074919668</v>
      </c>
    </row>
    <row r="179" spans="1:17" ht="57.6" x14ac:dyDescent="0.3">
      <c r="A179" s="65"/>
      <c r="B179" t="s">
        <v>194</v>
      </c>
      <c r="C179">
        <v>420.1</v>
      </c>
      <c r="D179">
        <v>80</v>
      </c>
      <c r="E179">
        <f t="shared" si="24"/>
        <v>33608</v>
      </c>
      <c r="F179" s="101" t="s">
        <v>215</v>
      </c>
      <c r="G179">
        <v>55</v>
      </c>
      <c r="H179">
        <v>2000</v>
      </c>
      <c r="I179">
        <f t="shared" si="25"/>
        <v>143608</v>
      </c>
      <c r="J179" s="45">
        <v>5000</v>
      </c>
      <c r="K179" s="60">
        <f t="shared" si="26"/>
        <v>9360.8000000000011</v>
      </c>
      <c r="L179" s="61">
        <f t="shared" si="27"/>
        <v>28721.600000000002</v>
      </c>
      <c r="M179" s="62">
        <f t="shared" si="28"/>
        <v>2792.3777777777777</v>
      </c>
      <c r="N179">
        <v>150</v>
      </c>
      <c r="O179">
        <f t="shared" si="29"/>
        <v>14782.5</v>
      </c>
      <c r="P179" s="66">
        <f t="shared" si="30"/>
        <v>10.29364659350454</v>
      </c>
      <c r="Q179" s="66">
        <f t="shared" si="31"/>
        <v>9.7147302553695241</v>
      </c>
    </row>
    <row r="180" spans="1:17" ht="57.6" x14ac:dyDescent="0.3">
      <c r="A180" s="65"/>
      <c r="B180" t="s">
        <v>195</v>
      </c>
      <c r="C180">
        <v>436</v>
      </c>
      <c r="D180">
        <v>80</v>
      </c>
      <c r="E180">
        <f t="shared" si="24"/>
        <v>34880</v>
      </c>
      <c r="F180" s="101" t="s">
        <v>215</v>
      </c>
      <c r="G180">
        <v>55</v>
      </c>
      <c r="H180">
        <v>2000</v>
      </c>
      <c r="I180">
        <f t="shared" si="25"/>
        <v>144880</v>
      </c>
      <c r="J180" s="45">
        <v>5000</v>
      </c>
      <c r="K180" s="60">
        <f t="shared" si="26"/>
        <v>9488</v>
      </c>
      <c r="L180" s="61">
        <f t="shared" si="27"/>
        <v>28976</v>
      </c>
      <c r="M180" s="62">
        <f t="shared" si="28"/>
        <v>2817.1111111111113</v>
      </c>
      <c r="N180">
        <v>150</v>
      </c>
      <c r="O180">
        <f t="shared" si="29"/>
        <v>14782.5</v>
      </c>
      <c r="P180" s="66">
        <f t="shared" si="30"/>
        <v>10.20327167310878</v>
      </c>
      <c r="Q180" s="66">
        <f t="shared" si="31"/>
        <v>9.8007779468966678</v>
      </c>
    </row>
    <row r="181" spans="1:17" ht="57.6" x14ac:dyDescent="0.3">
      <c r="A181" s="65"/>
      <c r="B181" t="s">
        <v>196</v>
      </c>
      <c r="C181">
        <v>395.1</v>
      </c>
      <c r="D181">
        <v>80</v>
      </c>
      <c r="E181">
        <f t="shared" si="24"/>
        <v>31608</v>
      </c>
      <c r="F181" s="101" t="s">
        <v>215</v>
      </c>
      <c r="G181">
        <v>55</v>
      </c>
      <c r="H181">
        <v>2000</v>
      </c>
      <c r="I181">
        <f t="shared" si="25"/>
        <v>141608</v>
      </c>
      <c r="J181" s="45">
        <v>5000</v>
      </c>
      <c r="K181" s="60">
        <f t="shared" si="26"/>
        <v>9160.8000000000011</v>
      </c>
      <c r="L181" s="61">
        <f t="shared" si="27"/>
        <v>28321.600000000002</v>
      </c>
      <c r="M181" s="62">
        <f t="shared" si="28"/>
        <v>2753.4888888888886</v>
      </c>
      <c r="N181">
        <v>150</v>
      </c>
      <c r="O181">
        <f t="shared" si="29"/>
        <v>14782.5</v>
      </c>
      <c r="P181" s="66">
        <f t="shared" si="30"/>
        <v>10.439028868425511</v>
      </c>
      <c r="Q181" s="66">
        <f t="shared" si="31"/>
        <v>9.5794351429054618</v>
      </c>
    </row>
    <row r="182" spans="1:17" ht="28.8" x14ac:dyDescent="0.3">
      <c r="A182" s="65"/>
      <c r="B182" t="s">
        <v>197</v>
      </c>
      <c r="C182">
        <v>522</v>
      </c>
      <c r="D182">
        <v>80</v>
      </c>
      <c r="E182">
        <f t="shared" si="24"/>
        <v>41760</v>
      </c>
      <c r="F182" s="101" t="s">
        <v>308</v>
      </c>
      <c r="G182">
        <v>85</v>
      </c>
      <c r="H182">
        <v>2000</v>
      </c>
      <c r="I182">
        <f t="shared" si="25"/>
        <v>211760</v>
      </c>
      <c r="J182" s="45">
        <v>5000</v>
      </c>
      <c r="K182" s="60">
        <f t="shared" si="26"/>
        <v>16176</v>
      </c>
      <c r="L182" s="61">
        <f t="shared" si="27"/>
        <v>42352</v>
      </c>
      <c r="M182" s="62">
        <f t="shared" si="28"/>
        <v>4117.5555555555557</v>
      </c>
      <c r="N182">
        <v>200</v>
      </c>
      <c r="O182">
        <f t="shared" si="29"/>
        <v>19710</v>
      </c>
      <c r="P182" s="66">
        <f t="shared" si="30"/>
        <v>9.3077068379297323</v>
      </c>
      <c r="Q182" s="66">
        <f t="shared" si="31"/>
        <v>10.743784880771182</v>
      </c>
    </row>
    <row r="183" spans="1:17" x14ac:dyDescent="0.3">
      <c r="A183" s="67"/>
      <c r="B183" s="67"/>
      <c r="C183" s="104"/>
      <c r="E183" s="103"/>
      <c r="F183" s="101"/>
      <c r="I183" s="1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nodar meskhi</dc:creator>
  <cp:lastModifiedBy>nodar meskhi</cp:lastModifiedBy>
  <dcterms:created xsi:type="dcterms:W3CDTF">2015-06-05T18:17:20Z</dcterms:created>
  <dcterms:modified xsi:type="dcterms:W3CDTF">2026-04-14T20:25:25Z</dcterms:modified>
</cp:coreProperties>
</file>