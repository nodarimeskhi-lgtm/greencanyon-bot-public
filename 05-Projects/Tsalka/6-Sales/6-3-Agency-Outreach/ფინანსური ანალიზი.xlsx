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  <sheet state="visible" name="Лист4" sheetId="4" r:id="rId8"/>
    <sheet state="visible" name="Лист5" sheetId="5" r:id="rId9"/>
    <sheet state="visible" name="Лист6" sheetId="6" r:id="rId10"/>
    <sheet state="visible" name="Лист7" sheetId="7" r:id="rId11"/>
    <sheet state="visible" name="Лист8" sheetId="8" r:id="rId12"/>
  </sheets>
  <definedNames>
    <definedName name="MY_FUNCTION1">LAMBDA(('Лист2'!$E$5+'Лист2'!$E$6='Лист2'!$E$7+'Лист2'!$E$9)*5%)</definedName>
  </definedNames>
  <calcPr/>
</workbook>
</file>

<file path=xl/sharedStrings.xml><?xml version="1.0" encoding="utf-8"?>
<sst xmlns="http://schemas.openxmlformats.org/spreadsheetml/2006/main" count="1466" uniqueCount="828">
  <si>
    <t>ინვესტიციის შეჯამება Creen Canyon Eco Village &amp; Resort</t>
  </si>
  <si>
    <t>ფაზა 1: განვითარების ხარჯები (CAPEX)</t>
  </si>
  <si>
    <t>მიწის შეძენის ღირებულება</t>
  </si>
  <si>
    <t>მშენებლობის საერთო ღირებულება</t>
  </si>
  <si>
    <t>ინვესტიციის საერთო ღირებულება</t>
  </si>
  <si>
    <t>ფაზა 2: გაყიდვები და მოგებაზე გასვლა</t>
  </si>
  <si>
    <t>გაყიდვების მთლიანი შემოსავალი (აპარტამენტები + რეზიდენციები)</t>
  </si>
  <si>
    <t>მინუს: მარკეტინგის და გაყიდვების ხარჯები (10%)</t>
  </si>
  <si>
    <t>მინუს: კაპიტალური ხარჯები სუშთა მოგება</t>
  </si>
  <si>
    <t>5,839,896</t>
  </si>
  <si>
    <t>საკუთრებაში აქტივების ღირებულება (კომერციული)</t>
  </si>
  <si>
    <t>ფაზა 3: წლიური ოპერაციები (განმეორებადი)</t>
  </si>
  <si>
    <t>წლიური შემოსავალი გაქირავების მართვიდან</t>
  </si>
  <si>
    <t>წლიური შემოსავალი კომერციული ოპერაციებიდან</t>
  </si>
  <si>
    <t>წლიური წმინდა შემოსავალი</t>
  </si>
  <si>
    <t>ნაკვეთი ს/ნ</t>
  </si>
  <si>
    <t>85.19.23.326</t>
  </si>
  <si>
    <t>სარეალიზაციო</t>
  </si>
  <si>
    <t>ნაკვეთი 172 ცალი</t>
  </si>
  <si>
    <t>მ2</t>
  </si>
  <si>
    <t>კომერციული</t>
  </si>
  <si>
    <t>გზები</t>
  </si>
  <si>
    <t>რეკრიაცია</t>
  </si>
  <si>
    <t>სრული ჯამი</t>
  </si>
  <si>
    <t>განვითარების ბიუჯეტის დაყოფა</t>
  </si>
  <si>
    <t>ფართი (მ²)</t>
  </si>
  <si>
    <t>$/მ²</t>
  </si>
  <si>
    <t>ჯამი</t>
  </si>
  <si>
    <t>მიწის შეძენა</t>
  </si>
  <si>
    <t>სრული პაკეტი (არქიტექტურა, ნებართვები,მართვის მოდელი)</t>
  </si>
  <si>
    <t>2. მშენებლობა (მყარი ხარჯები)</t>
  </si>
  <si>
    <t>საცხოვრებელი სახლები (172 ერთეული)</t>
  </si>
  <si>
    <t>აპარტ-სასტუმრო (100 ერთეული)</t>
  </si>
  <si>
    <t>კომერციული შენობები (დასასვენებელი, სპა)</t>
  </si>
  <si>
    <t>3. ინფრასტრუქტურა</t>
  </si>
  <si>
    <t>გზები, ელექტროენერგია, წყალი, ლანდშაფტი</t>
  </si>
  <si>
    <t>4. გაუთვალისწინებელი (გაუთვალისწინებელი)</t>
  </si>
  <si>
    <t>პროექტის საერთო ღირებულება</t>
  </si>
  <si>
    <t>ტიპი</t>
  </si>
  <si>
    <t>რაოდენობა</t>
  </si>
  <si>
    <t>საშ. ფართი (m2)</t>
  </si>
  <si>
    <t>ჯამი m2</t>
  </si>
  <si>
    <t>საშ. ფასი ($/m2)</t>
  </si>
  <si>
    <t>ჯამი $</t>
  </si>
  <si>
    <t>Eco Cabin (Loft)</t>
  </si>
  <si>
    <t>Eco Cottage</t>
  </si>
  <si>
    <t>Comfort</t>
  </si>
  <si>
    <t>Comfort+ (60+60)</t>
  </si>
  <si>
    <t>LUX Grand Villa</t>
  </si>
  <si>
    <t>სტუდიო</t>
  </si>
  <si>
    <t>ერთ საძინებლიანი აპარტ.</t>
  </si>
  <si>
    <t>ნაკვეთის სარეალიზაციო ჯამი</t>
  </si>
  <si>
    <t>სულ ჯამი</t>
  </si>
  <si>
    <t>დასახელება</t>
  </si>
  <si>
    <t>მაჩვენებელი</t>
  </si>
  <si>
    <t>მნიშვნელობა</t>
  </si>
  <si>
    <t>მთლიანი გასაქირავებელი იუნიტების ჯამი</t>
  </si>
  <si>
    <t>ცალი</t>
  </si>
  <si>
    <t>საშუალო დღიური განაკვეთი (ADR)</t>
  </si>
  <si>
    <t>ღირებულება</t>
  </si>
  <si>
    <t>დატვირთვის მაჩვენებელი (წლიური)</t>
  </si>
  <si>
    <t>დაშვება</t>
  </si>
  <si>
    <t>მთლიანი გაქირავების შემოსავალი</t>
  </si>
  <si>
    <t>$</t>
  </si>
  <si>
    <t>მართვის საფასური (Management Fee) 40%</t>
  </si>
  <si>
    <t>ოპერირების საფასური (Booking/Airbnb) 15%</t>
  </si>
  <si>
    <t>ოპერატიული ხარჯები (Utilities &amp; Maint.) 5%</t>
  </si>
  <si>
    <t>ქირავნობის წმინდა მოგება 20%</t>
  </si>
  <si>
    <t>მინუს ზედნადები ხარჯი</t>
  </si>
  <si>
    <t>დაშვება/ფართი</t>
  </si>
  <si>
    <t>ფასი $</t>
  </si>
  <si>
    <t>საკუთრებაში არსებული კომერციული ფართი</t>
  </si>
  <si>
    <t>3000.00</t>
  </si>
  <si>
    <t>$ 2,700,000</t>
  </si>
  <si>
    <t>წლიური ბრუნვა (F&amp;B, SPA, ატრაქციონები)</t>
  </si>
  <si>
    <t>წმინდა მოგების მარჟა</t>
  </si>
  <si>
    <t>წმინდა კომერციული მოგება სარეალიზაციო</t>
  </si>
  <si>
    <t>წელი</t>
  </si>
  <si>
    <t>დატვირთვა</t>
  </si>
  <si>
    <t>ფასი</t>
  </si>
  <si>
    <t>შემოსავალი</t>
  </si>
  <si>
    <t>ხარჯი</t>
  </si>
  <si>
    <t>მოგება</t>
  </si>
  <si>
    <t>ROI</t>
  </si>
  <si>
    <t>ობიექტის ტიპი</t>
  </si>
  <si>
    <t>ლოკაცია / ფართი</t>
  </si>
  <si>
    <t>შემოსავლის წყარო</t>
  </si>
  <si>
    <t>წლიური ბრუნვა</t>
  </si>
  <si>
    <t>მოგების მარჟა</t>
  </si>
  <si>
    <t>წმინდა მოგება</t>
  </si>
  <si>
    <t>მთავარი რესტორანი + Lounge</t>
  </si>
  <si>
    <t>900m (შიდა)</t>
  </si>
  <si>
    <t>კვება (F&amp;B) ჯამური</t>
  </si>
  <si>
    <t>"Canyon View" რესტორანი</t>
  </si>
  <si>
    <t>გარე ტერასა</t>
  </si>
  <si>
    <t>ატრაქციონები (Ice + 5D)</t>
  </si>
  <si>
    <t>SPA &amp; Wellness</t>
  </si>
  <si>
    <t>800m (შიდა)</t>
  </si>
  <si>
    <t>ყინულის მოედანი (Ice Rink)</t>
  </si>
  <si>
    <t>გარე (სეზონური)</t>
  </si>
  <si>
    <t>MICE (ივენთები)</t>
  </si>
  <si>
    <t>5D ობსერვატორია / კინო</t>
  </si>
  <si>
    <t>200m (შიდა)</t>
  </si>
  <si>
    <t>იჯარა/Retail</t>
  </si>
  <si>
    <t>MICE / ივენთ ჰოლი</t>
  </si>
  <si>
    <t>400m (შიდა)</t>
  </si>
  <si>
    <t>29~33%</t>
  </si>
  <si>
    <t>Retail / სერვისები</t>
  </si>
  <si>
    <t>200m(შიდა)</t>
  </si>
  <si>
    <t>Description</t>
  </si>
  <si>
    <t>Land Area</t>
  </si>
  <si>
    <t>House Area</t>
  </si>
  <si>
    <t>Price (Turnkey)</t>
  </si>
  <si>
    <t>Land</t>
  </si>
  <si>
    <t>Total</t>
  </si>
  <si>
    <t>Status</t>
  </si>
  <si>
    <t>„</t>
  </si>
  <si>
    <t>Alpine Studio</t>
  </si>
  <si>
    <t>Shared</t>
  </si>
  <si>
    <t>$64,750</t>
  </si>
  <si>
    <t>✅ Available</t>
  </si>
  <si>
    <t>Grand Suite</t>
  </si>
  <si>
    <t>$92,500</t>
  </si>
  <si>
    <t>300-400 m²</t>
  </si>
  <si>
    <t>$111,000</t>
  </si>
  <si>
    <t>$28,000</t>
  </si>
  <si>
    <t>$139,000</t>
  </si>
  <si>
    <t>✅ Available+land</t>
  </si>
  <si>
    <t>400-500 m²</t>
  </si>
  <si>
    <t>$166,500</t>
  </si>
  <si>
    <t>$36,000</t>
  </si>
  <si>
    <t>$202,500</t>
  </si>
  <si>
    <t>500-600 m²</t>
  </si>
  <si>
    <t>$222,000</t>
  </si>
  <si>
    <t>$44,000</t>
  </si>
  <si>
    <t>$266,000</t>
  </si>
  <si>
    <t>600-700 m²</t>
  </si>
  <si>
    <t>$52,000</t>
  </si>
  <si>
    <t>$274,000</t>
  </si>
  <si>
    <t>700 -m²</t>
  </si>
  <si>
    <t>$370,000</t>
  </si>
  <si>
    <t>$60,000</t>
  </si>
  <si>
    <t>$430,000</t>
  </si>
  <si>
    <t>აპარტამენტის აღჭურვილობის სრული ხარჯთაღრიცხვა</t>
  </si>
  <si>
    <t>კატეგორია</t>
  </si>
  <si>
    <t>#</t>
  </si>
  <si>
    <t>სავარაუდო ფასი (1 ცალი, GEL)</t>
  </si>
  <si>
    <t>სულ (GEL)</t>
  </si>
  <si>
    <t>ა) ჰოლის ნაწილი</t>
  </si>
  <si>
    <t>შემოსასვლელის კარადა სარკით</t>
  </si>
  <si>
    <t>ტანსაცმლის საკიდი (კედლის)</t>
  </si>
  <si>
    <t>ფეხსაცმლის კოვზი</t>
  </si>
  <si>
    <t>თეთრეულის ტომარა</t>
  </si>
  <si>
    <t>უთო</t>
  </si>
  <si>
    <t>საუთოვებელი მაგიდა</t>
  </si>
  <si>
    <t>ჰოლის ნაწილის ჯამი</t>
  </si>
  <si>
    <t>ბ) საცხოვრებელი ნაწილი</t>
  </si>
  <si>
    <t>ორადგილიანი გასაშლელი დივანი</t>
  </si>
  <si>
    <t>ტუმბო (ჟურნალის მაგიდა)</t>
  </si>
  <si>
    <t>სამუშაო მაგიდა სკამით</t>
  </si>
  <si>
    <t>ტელევიზორის სადგამი</t>
  </si>
  <si>
    <t>სანათი (ტორშერი)</t>
  </si>
  <si>
    <t>ფარდა (დღის და ღამის)</t>
  </si>
  <si>
    <t>1 კომპ.</t>
  </si>
  <si>
    <t>ფარდის საკიდი (კარნიზი)</t>
  </si>
  <si>
    <t>სასადილო მაგიდა</t>
  </si>
  <si>
    <t>სასადილო მაგიდის სკამი</t>
  </si>
  <si>
    <t>ტელევიზორი (43" Smart TV)</t>
  </si>
  <si>
    <t>კონდიციონერება, გათბობა</t>
  </si>
  <si>
    <t>-</t>
  </si>
  <si>
    <t>შენობის ნაწილი</t>
  </si>
  <si>
    <t>ტელეფონი (სასტუმროს)</t>
  </si>
  <si>
    <t>ვაზა (დეკორატიული)</t>
  </si>
  <si>
    <t>საცხოვრებელი ნაწილის ჯამი</t>
  </si>
  <si>
    <t>გ) საძინებლის ნაწილი</t>
  </si>
  <si>
    <t>გარდერობი სარკით</t>
  </si>
  <si>
    <t>ორადგილიანი საწოლი + ლეიბი</t>
  </si>
  <si>
    <t>საწოლის ტუმბო</t>
  </si>
  <si>
    <t>ნათურა საწოლის ტუმბოსთვის</t>
  </si>
  <si>
    <t>საძინებლის სარკე</t>
  </si>
  <si>
    <t>სკამი პარფიუმერიისთვის</t>
  </si>
  <si>
    <t>მაგიდა პარფიუმერიისთვის</t>
  </si>
  <si>
    <t>ტელევიზორი (32" Smart TV)</t>
  </si>
  <si>
    <t>ნათურა (ჭერის)</t>
  </si>
  <si>
    <t>საწოლის თეთრეულის კომპლექტი</t>
  </si>
  <si>
    <t>2 კომპ.</t>
  </si>
  <si>
    <t>საწოლის გადასაფარებელი</t>
  </si>
  <si>
    <t>ბალიშის პირი</t>
  </si>
  <si>
    <t>ბალიში (ხარისხიანი)</t>
  </si>
  <si>
    <t>საძინებლის ნაწილის ჯამი</t>
  </si>
  <si>
    <t>დ) სამზარეულოს ნაწილი</t>
  </si>
  <si>
    <t>სამზარეულოს კარადა (კომპლექტი)</t>
  </si>
  <si>
    <t>ნიჟარა შემრევით</t>
  </si>
  <si>
    <t>ორწერტილიანი ელექტრო ქურა</t>
  </si>
  <si>
    <t>გამწოვი</t>
  </si>
  <si>
    <t>მაცივარი (ჩასაშენებელი)</t>
  </si>
  <si>
    <t>ჭურჭელი და აქსესუარები (სრული კომპლექტი)</t>
  </si>
  <si>
    <t>სამზარეულოს ნაწილის ჯამი</t>
  </si>
  <si>
    <t>ე) აბაზანის ნაწილი</t>
  </si>
  <si>
    <t>სანტექნიკა (უნიტაზი, ნიჟარა, საშხაპე)</t>
  </si>
  <si>
    <t>აბაზანის აქსესუარები (კომპლექტი)</t>
  </si>
  <si>
    <t>პირსახოცები და ხალათები (კომპლექტი)</t>
  </si>
  <si>
    <t>ნაგვის ურნა</t>
  </si>
  <si>
    <t>ფენი</t>
  </si>
  <si>
    <t>აბაზანის ნაწილის ჯამი</t>
  </si>
  <si>
    <t>სრული ჯამი (1 აპარტამენტი):</t>
  </si>
  <si>
    <t>17,800 GEL</t>
  </si>
  <si>
    <t>შემაჯამებელი ანალიზი</t>
  </si>
  <si>
    <t>სავარაუდო ბიუჯეტი: ერთი 2-ოთახიანი სტუდიოს სრულად აღჭურვა, სასტუმროს სტანდარტების შესაბამისად, დაახლოებით 17,800 ლარი ჯდება.</t>
  </si>
  <si>
    <t>დოლარში: დღევანდელი კურსით (დაახლოებით 2.8), ეს არის დაახლოებით $6,350.</t>
  </si>
  <si>
    <t>წალკის რაიონის ტურისტული ბაზრის კვლევიდან გამომდინარე, სასტუმრო ნომრის გაქირავების პესიმისტური ანალიზი გათვლილი 5 წელზე</t>
  </si>
  <si>
    <t>ოპტიმისტური ანალიზი გათვლილი 5 წელზე</t>
  </si>
  <si>
    <t>აპარტამენტი</t>
  </si>
  <si>
    <t>ფართი მ2</t>
  </si>
  <si>
    <t>ADR-$</t>
  </si>
  <si>
    <t>1მ2 ფასი $</t>
  </si>
  <si>
    <t>რაოდნობა</t>
  </si>
  <si>
    <t>ინ. უკუგება</t>
  </si>
  <si>
    <t>Alpine 1+1 bedroom</t>
  </si>
  <si>
    <t>2 bedroom</t>
  </si>
  <si>
    <t>ნაკვეთი(300-400)მ2</t>
  </si>
  <si>
    <t>3+1 bedroom</t>
  </si>
  <si>
    <t>ნაკვეთი(400-500)მ2</t>
  </si>
  <si>
    <t>4+1 bedroom</t>
  </si>
  <si>
    <t>ნაკვეთი(500-600)მ2</t>
  </si>
  <si>
    <t>302.5</t>
  </si>
  <si>
    <t>332.75</t>
  </si>
  <si>
    <t>366.025</t>
  </si>
  <si>
    <t>Comfort+</t>
  </si>
  <si>
    <t>(2)+(2) Eco Cabin</t>
  </si>
  <si>
    <t>ნაკვეთი(600-700)მ2</t>
  </si>
  <si>
    <t>6+ bedroom</t>
  </si>
  <si>
    <t>ნაკვეთი(700-900)მ2</t>
  </si>
  <si>
    <t>8.0</t>
  </si>
  <si>
    <t>💸 EXPENSE BREAKDOWN (40%) ხარჯის ჩამონათვალი</t>
  </si>
  <si>
    <t>მართვის საკომისიო (Management Fee)</t>
  </si>
  <si>
    <t>Operations, administration</t>
  </si>
  <si>
    <t>საბროკერო საკომისიო (Booking/Airbnb)</t>
  </si>
  <si>
    <t>Airbnb / Booking / Expedia</t>
  </si>
  <si>
    <t>კომუნალური &amp; მოვლა (Utilities &amp; Maint.)</t>
  </si>
  <si>
    <t>Electricity, water, repairs</t>
  </si>
  <si>
    <t>მარკეტინგი &amp; დაზღვევა</t>
  </si>
  <si>
    <t>Ads, insurance coverage</t>
  </si>
  <si>
    <t>სულ ხარჯი (Total Deduction)</t>
  </si>
  <si>
    <t>Area 1</t>
  </si>
  <si>
    <t>Unit</t>
  </si>
  <si>
    <t>m²</t>
  </si>
  <si>
    <t>Type</t>
  </si>
  <si>
    <t>Area 2</t>
  </si>
  <si>
    <t>Area 3</t>
  </si>
  <si>
    <t>Area 4</t>
  </si>
  <si>
    <t>Area 1-1</t>
  </si>
  <si>
    <t>LA-1</t>
  </si>
  <si>
    <t>702.4</t>
  </si>
  <si>
    <t>Grand Villa</t>
  </si>
  <si>
    <t>Area 2-1</t>
  </si>
  <si>
    <t>LB-2</t>
  </si>
  <si>
    <t>392.4</t>
  </si>
  <si>
    <t>Eco Cabin</t>
  </si>
  <si>
    <t>Area 3-1</t>
  </si>
  <si>
    <t>LB-1</t>
  </si>
  <si>
    <t>654.9</t>
  </si>
  <si>
    <t>Lux</t>
  </si>
  <si>
    <t>Area 4-1</t>
  </si>
  <si>
    <t>LD-3</t>
  </si>
  <si>
    <t>Area 1-2</t>
  </si>
  <si>
    <t>LA-2</t>
  </si>
  <si>
    <t>683.2</t>
  </si>
  <si>
    <t>Area 2-2</t>
  </si>
  <si>
    <t>LB-4</t>
  </si>
  <si>
    <t>491.7</t>
  </si>
  <si>
    <t>Area 3-2</t>
  </si>
  <si>
    <t>LB-3</t>
  </si>
  <si>
    <t>Area 4-2</t>
  </si>
  <si>
    <t>LD-4</t>
  </si>
  <si>
    <t>525.7</t>
  </si>
  <si>
    <t>Area 1-3</t>
  </si>
  <si>
    <t>LA-3</t>
  </si>
  <si>
    <t>635.8</t>
  </si>
  <si>
    <t>Area 2-3</t>
  </si>
  <si>
    <t>LB-6</t>
  </si>
  <si>
    <t>557.8</t>
  </si>
  <si>
    <t>Area 3-3</t>
  </si>
  <si>
    <t>LB-5</t>
  </si>
  <si>
    <t>509.5</t>
  </si>
  <si>
    <t>Area 4-3</t>
  </si>
  <si>
    <t>LD-5</t>
  </si>
  <si>
    <t>Area 1-4</t>
  </si>
  <si>
    <t>LA-4</t>
  </si>
  <si>
    <t>542.8</t>
  </si>
  <si>
    <t>Area 2-4</t>
  </si>
  <si>
    <t>LB-8</t>
  </si>
  <si>
    <t>591.5</t>
  </si>
  <si>
    <t>Area 3-4</t>
  </si>
  <si>
    <t>LB-7</t>
  </si>
  <si>
    <t>599.2</t>
  </si>
  <si>
    <t>Area 4-4</t>
  </si>
  <si>
    <t>LD-6</t>
  </si>
  <si>
    <t>Area 1-5</t>
  </si>
  <si>
    <t>LA-5</t>
  </si>
  <si>
    <t>561.5</t>
  </si>
  <si>
    <t>Area 2-5</t>
  </si>
  <si>
    <t>LB-10</t>
  </si>
  <si>
    <t>608.4</t>
  </si>
  <si>
    <t>Area 3-5</t>
  </si>
  <si>
    <t>LB-9</t>
  </si>
  <si>
    <t>565.3</t>
  </si>
  <si>
    <t>Area 4-5</t>
  </si>
  <si>
    <t>LD-7</t>
  </si>
  <si>
    <t>741.9</t>
  </si>
  <si>
    <t>Area 1-6</t>
  </si>
  <si>
    <t>LA-6</t>
  </si>
  <si>
    <t>740.3</t>
  </si>
  <si>
    <t>Area 2-6</t>
  </si>
  <si>
    <t>LB-12</t>
  </si>
  <si>
    <t>609.8</t>
  </si>
  <si>
    <t>Area 3-6</t>
  </si>
  <si>
    <t>LB-11</t>
  </si>
  <si>
    <t>491.1</t>
  </si>
  <si>
    <t>Area 4-6</t>
  </si>
  <si>
    <t>LG-1</t>
  </si>
  <si>
    <t>789.9</t>
  </si>
  <si>
    <t>Area 1-7</t>
  </si>
  <si>
    <t>LA-7</t>
  </si>
  <si>
    <t>953.6</t>
  </si>
  <si>
    <t>Area 2-7</t>
  </si>
  <si>
    <t>LB-14</t>
  </si>
  <si>
    <t>580.2</t>
  </si>
  <si>
    <t>Area 3-7</t>
  </si>
  <si>
    <t>LB-13</t>
  </si>
  <si>
    <t>466.5</t>
  </si>
  <si>
    <t>Area 4-7</t>
  </si>
  <si>
    <t>LG-2</t>
  </si>
  <si>
    <t>509.8</t>
  </si>
  <si>
    <t>Area 1-8</t>
  </si>
  <si>
    <t>LA-8</t>
  </si>
  <si>
    <t>1084.1</t>
  </si>
  <si>
    <t>Area 2-8</t>
  </si>
  <si>
    <t>LC-1</t>
  </si>
  <si>
    <t>567.2</t>
  </si>
  <si>
    <t>Area 3-8</t>
  </si>
  <si>
    <t>LB-15</t>
  </si>
  <si>
    <t>522.9</t>
  </si>
  <si>
    <t>Area 4-8</t>
  </si>
  <si>
    <t>LG-3</t>
  </si>
  <si>
    <t>454.3</t>
  </si>
  <si>
    <t>Area 1-9</t>
  </si>
  <si>
    <t>LF-1</t>
  </si>
  <si>
    <t>503.6</t>
  </si>
  <si>
    <t>Area 2-9</t>
  </si>
  <si>
    <t>LC-3</t>
  </si>
  <si>
    <t>Area 3-9</t>
  </si>
  <si>
    <t>LC-2</t>
  </si>
  <si>
    <t>582.2</t>
  </si>
  <si>
    <t>Area 4-9</t>
  </si>
  <si>
    <t>LG-4</t>
  </si>
  <si>
    <t>369.9</t>
  </si>
  <si>
    <t>Area 1-10</t>
  </si>
  <si>
    <t>LF-2</t>
  </si>
  <si>
    <t>413.4</t>
  </si>
  <si>
    <t>Area 2-10</t>
  </si>
  <si>
    <t>LC-5</t>
  </si>
  <si>
    <t>511.9</t>
  </si>
  <si>
    <t>Area 3-10</t>
  </si>
  <si>
    <t>LC-4</t>
  </si>
  <si>
    <t>557.3</t>
  </si>
  <si>
    <t>Area 4-10</t>
  </si>
  <si>
    <t>LH-1</t>
  </si>
  <si>
    <t>558.5</t>
  </si>
  <si>
    <t>Area 1-11</t>
  </si>
  <si>
    <t>LF-3</t>
  </si>
  <si>
    <t>Area 2-11</t>
  </si>
  <si>
    <t>LC-7</t>
  </si>
  <si>
    <t>457.2</t>
  </si>
  <si>
    <t>Area 3-11</t>
  </si>
  <si>
    <t>LC-6</t>
  </si>
  <si>
    <t>498.4</t>
  </si>
  <si>
    <t>Area 4-11</t>
  </si>
  <si>
    <t>LH-2</t>
  </si>
  <si>
    <t>408.2</t>
  </si>
  <si>
    <t>Area 1-12</t>
  </si>
  <si>
    <t>LF-4</t>
  </si>
  <si>
    <t>404.7</t>
  </si>
  <si>
    <t>Area 2-12</t>
  </si>
  <si>
    <t>LC-9</t>
  </si>
  <si>
    <t>381.9</t>
  </si>
  <si>
    <t>Area 3-12</t>
  </si>
  <si>
    <t>LC-8</t>
  </si>
  <si>
    <t>438.1</t>
  </si>
  <si>
    <t>Area 4-12</t>
  </si>
  <si>
    <t>LH-3</t>
  </si>
  <si>
    <t>Area 1-13</t>
  </si>
  <si>
    <t>LF-5</t>
  </si>
  <si>
    <t>485.3</t>
  </si>
  <si>
    <t>Area 2-13</t>
  </si>
  <si>
    <t>LC-11</t>
  </si>
  <si>
    <t>283.2</t>
  </si>
  <si>
    <t>Area 3-13</t>
  </si>
  <si>
    <t>LC-10</t>
  </si>
  <si>
    <t>377.7</t>
  </si>
  <si>
    <t>Area 4-13</t>
  </si>
  <si>
    <t>LH-4</t>
  </si>
  <si>
    <t>389.8</t>
  </si>
  <si>
    <t>Area 1-14</t>
  </si>
  <si>
    <t>LF-6</t>
  </si>
  <si>
    <t>479.7</t>
  </si>
  <si>
    <t>Area 2-14</t>
  </si>
  <si>
    <t>LC-13</t>
  </si>
  <si>
    <t>504.5</t>
  </si>
  <si>
    <t>Area 3-14</t>
  </si>
  <si>
    <t>LC-12</t>
  </si>
  <si>
    <t>317.4</t>
  </si>
  <si>
    <t>Area 4-14</t>
  </si>
  <si>
    <t>LH-5</t>
  </si>
  <si>
    <t>380.5</t>
  </si>
  <si>
    <t>Area 1-15</t>
  </si>
  <si>
    <t>LF-7</t>
  </si>
  <si>
    <t>652.9</t>
  </si>
  <si>
    <t>Area 2-15</t>
  </si>
  <si>
    <t>LE-7</t>
  </si>
  <si>
    <t>643.2</t>
  </si>
  <si>
    <t>Area 3-15</t>
  </si>
  <si>
    <t>LI-1</t>
  </si>
  <si>
    <t>426.8</t>
  </si>
  <si>
    <t>Area 4-15</t>
  </si>
  <si>
    <t>LH-6</t>
  </si>
  <si>
    <t>372.3</t>
  </si>
  <si>
    <t>Area 1-16</t>
  </si>
  <si>
    <t>LF-8</t>
  </si>
  <si>
    <t>513.9</t>
  </si>
  <si>
    <t>Area 2-16</t>
  </si>
  <si>
    <t>LE-8</t>
  </si>
  <si>
    <t>538.8</t>
  </si>
  <si>
    <t>Area 3-16</t>
  </si>
  <si>
    <t>LI-3</t>
  </si>
  <si>
    <t>Area 4-16</t>
  </si>
  <si>
    <t>LH-7</t>
  </si>
  <si>
    <t>370.5</t>
  </si>
  <si>
    <t>Area 1-17</t>
  </si>
  <si>
    <t>LF-9</t>
  </si>
  <si>
    <t>451.8</t>
  </si>
  <si>
    <t>Area 2-17</t>
  </si>
  <si>
    <t>LE-9</t>
  </si>
  <si>
    <t>Area 3-17</t>
  </si>
  <si>
    <t>LI-5</t>
  </si>
  <si>
    <t>Area 4-17</t>
  </si>
  <si>
    <t>LH-8</t>
  </si>
  <si>
    <t>369.8</t>
  </si>
  <si>
    <t>Area 1-18</t>
  </si>
  <si>
    <t>LF-10</t>
  </si>
  <si>
    <t>Area 2-18</t>
  </si>
  <si>
    <t>LE-10</t>
  </si>
  <si>
    <t>359.3</t>
  </si>
  <si>
    <t>Area 3-18</t>
  </si>
  <si>
    <t>LI-7</t>
  </si>
  <si>
    <t>Area 4-18</t>
  </si>
  <si>
    <t>LH-9</t>
  </si>
  <si>
    <t>369.1</t>
  </si>
  <si>
    <t>Area 1-19</t>
  </si>
  <si>
    <t>LF-11</t>
  </si>
  <si>
    <t>464.4</t>
  </si>
  <si>
    <t>Area 2-19</t>
  </si>
  <si>
    <t>LE-11</t>
  </si>
  <si>
    <t>382.6</t>
  </si>
  <si>
    <t>Area 3-19</t>
  </si>
  <si>
    <t>LI-9</t>
  </si>
  <si>
    <t>Area 4-19</t>
  </si>
  <si>
    <t>LH-10</t>
  </si>
  <si>
    <t>Area 1-20</t>
  </si>
  <si>
    <t>LF-12</t>
  </si>
  <si>
    <t>425.4</t>
  </si>
  <si>
    <t>Area 2-20</t>
  </si>
  <si>
    <t>LE-12</t>
  </si>
  <si>
    <t>Area 3-20</t>
  </si>
  <si>
    <t>LI-11</t>
  </si>
  <si>
    <t>Area 4-20</t>
  </si>
  <si>
    <t>LH-11</t>
  </si>
  <si>
    <t>379.4</t>
  </si>
  <si>
    <t>Area 1-21</t>
  </si>
  <si>
    <t>LF-13</t>
  </si>
  <si>
    <t>Area 2-21</t>
  </si>
  <si>
    <t>LE-13</t>
  </si>
  <si>
    <t>409.7</t>
  </si>
  <si>
    <t>Area 3-21</t>
  </si>
  <si>
    <t>LK-1</t>
  </si>
  <si>
    <t>Area 4-21</t>
  </si>
  <si>
    <t>LH-12</t>
  </si>
  <si>
    <t>392.9</t>
  </si>
  <si>
    <t>Area 1-22</t>
  </si>
  <si>
    <t>LJ-1</t>
  </si>
  <si>
    <t>470.5</t>
  </si>
  <si>
    <t>Area 2-22</t>
  </si>
  <si>
    <t>LE-14</t>
  </si>
  <si>
    <t>Area 3-22</t>
  </si>
  <si>
    <t>LK-3</t>
  </si>
  <si>
    <t>Area 4-22</t>
  </si>
  <si>
    <t>LH-13</t>
  </si>
  <si>
    <t>398.4</t>
  </si>
  <si>
    <t>Area 1-23</t>
  </si>
  <si>
    <t>LJ-2</t>
  </si>
  <si>
    <t>628.6</t>
  </si>
  <si>
    <t>Area 2-23</t>
  </si>
  <si>
    <t>LE-15</t>
  </si>
  <si>
    <t>406.3</t>
  </si>
  <si>
    <t>Area 3-23</t>
  </si>
  <si>
    <t>LK-5</t>
  </si>
  <si>
    <t>Area 4-23</t>
  </si>
  <si>
    <t>LH-14</t>
  </si>
  <si>
    <t>Area 1-24</t>
  </si>
  <si>
    <t>LJ-3</t>
  </si>
  <si>
    <t>652.1</t>
  </si>
  <si>
    <t>Area 2-24</t>
  </si>
  <si>
    <t>LE-16</t>
  </si>
  <si>
    <t>600.7</t>
  </si>
  <si>
    <t>Area 3-24</t>
  </si>
  <si>
    <t>LK-7</t>
  </si>
  <si>
    <t>Area 4-24</t>
  </si>
  <si>
    <t>LH-15</t>
  </si>
  <si>
    <t>342.3</t>
  </si>
  <si>
    <t>Area 1-25</t>
  </si>
  <si>
    <t>LJ-4</t>
  </si>
  <si>
    <t>584.2</t>
  </si>
  <si>
    <t>Area 2-25</t>
  </si>
  <si>
    <t>LI-2</t>
  </si>
  <si>
    <t>433.3</t>
  </si>
  <si>
    <t>Area 3-25</t>
  </si>
  <si>
    <t>LK-9</t>
  </si>
  <si>
    <t>428.7</t>
  </si>
  <si>
    <t>Area 4-25</t>
  </si>
  <si>
    <t>LH-16</t>
  </si>
  <si>
    <t>430.3</t>
  </si>
  <si>
    <t>Area 1-26</t>
  </si>
  <si>
    <t>LJ-5</t>
  </si>
  <si>
    <t>443.3</t>
  </si>
  <si>
    <t>Area 2-26</t>
  </si>
  <si>
    <t>LI-4</t>
  </si>
  <si>
    <t>Area 3-26</t>
  </si>
  <si>
    <t>LK-11</t>
  </si>
  <si>
    <t>467.1</t>
  </si>
  <si>
    <t>11329.6</t>
  </si>
  <si>
    <t>Area 1-27</t>
  </si>
  <si>
    <t>LJ-6</t>
  </si>
  <si>
    <t>348.6</t>
  </si>
  <si>
    <t>Area 2-27</t>
  </si>
  <si>
    <t>LI-6</t>
  </si>
  <si>
    <t>Area 3-27</t>
  </si>
  <si>
    <t>LD-1</t>
  </si>
  <si>
    <t>649.3</t>
  </si>
  <si>
    <t>Area 1-28</t>
  </si>
  <si>
    <t>LJ-7</t>
  </si>
  <si>
    <t>Area 2-28</t>
  </si>
  <si>
    <t>LI-8</t>
  </si>
  <si>
    <t>Area 3-28</t>
  </si>
  <si>
    <t>LD-2</t>
  </si>
  <si>
    <t>901.9</t>
  </si>
  <si>
    <t>Area 1-29</t>
  </si>
  <si>
    <t>LL-1</t>
  </si>
  <si>
    <t>Area 2-29</t>
  </si>
  <si>
    <t>LI-10</t>
  </si>
  <si>
    <t>Area 3-29</t>
  </si>
  <si>
    <t>LE-1</t>
  </si>
  <si>
    <t>514.2</t>
  </si>
  <si>
    <t>Area 1-30</t>
  </si>
  <si>
    <t>LL-2</t>
  </si>
  <si>
    <t>369.6</t>
  </si>
  <si>
    <t>Area 2-30</t>
  </si>
  <si>
    <t>LI-12</t>
  </si>
  <si>
    <t>Area 3-30</t>
  </si>
  <si>
    <t>LE-2</t>
  </si>
  <si>
    <t>337.5</t>
  </si>
  <si>
    <t>Area 1-31</t>
  </si>
  <si>
    <t>LL-3</t>
  </si>
  <si>
    <t>385.3</t>
  </si>
  <si>
    <t>Area 2-31</t>
  </si>
  <si>
    <t>LK-2</t>
  </si>
  <si>
    <t>Area 3-31</t>
  </si>
  <si>
    <t>LE-3</t>
  </si>
  <si>
    <t>396.9</t>
  </si>
  <si>
    <t>Area 1-32</t>
  </si>
  <si>
    <t>LL-4</t>
  </si>
  <si>
    <t>381.8</t>
  </si>
  <si>
    <t>Area 2-32</t>
  </si>
  <si>
    <t>LK-4</t>
  </si>
  <si>
    <t>Area 3-32</t>
  </si>
  <si>
    <t>LE-4</t>
  </si>
  <si>
    <t>417.9</t>
  </si>
  <si>
    <t>Area 1-33</t>
  </si>
  <si>
    <t>LL-5</t>
  </si>
  <si>
    <t>336.7</t>
  </si>
  <si>
    <t>Area 2-33</t>
  </si>
  <si>
    <t>LK-6</t>
  </si>
  <si>
    <t>Area 3-33</t>
  </si>
  <si>
    <t>LE-5</t>
  </si>
  <si>
    <t>412.8</t>
  </si>
  <si>
    <t>Area 1-34</t>
  </si>
  <si>
    <t>LL-6</t>
  </si>
  <si>
    <t>360.1</t>
  </si>
  <si>
    <t>Area 2-34</t>
  </si>
  <si>
    <t>LK-8</t>
  </si>
  <si>
    <t>Area 3-34</t>
  </si>
  <si>
    <t>LE-6</t>
  </si>
  <si>
    <t>590.5</t>
  </si>
  <si>
    <t>Area 1-35</t>
  </si>
  <si>
    <t>LO-1</t>
  </si>
  <si>
    <t>325.3</t>
  </si>
  <si>
    <t>Area 2-35</t>
  </si>
  <si>
    <t>LK-10</t>
  </si>
  <si>
    <t>Area 3-35</t>
  </si>
  <si>
    <t>LM-2</t>
  </si>
  <si>
    <t>Area 1-36</t>
  </si>
  <si>
    <t>LO-2</t>
  </si>
  <si>
    <t>335.4</t>
  </si>
  <si>
    <t>Area 2-36</t>
  </si>
  <si>
    <t>LK-12</t>
  </si>
  <si>
    <t>412.6</t>
  </si>
  <si>
    <t>Area 3-36</t>
  </si>
  <si>
    <t>LM-3</t>
  </si>
  <si>
    <t>Area 1-37</t>
  </si>
  <si>
    <t>LO-3</t>
  </si>
  <si>
    <t>Area 2-37</t>
  </si>
  <si>
    <t>LM-1</t>
  </si>
  <si>
    <t>539.7</t>
  </si>
  <si>
    <t>Area 3-37</t>
  </si>
  <si>
    <t>LM-4</t>
  </si>
  <si>
    <t>Area 1-38</t>
  </si>
  <si>
    <t>LO-4</t>
  </si>
  <si>
    <t>334.3</t>
  </si>
  <si>
    <t>Area 2-38</t>
  </si>
  <si>
    <t>LN-1</t>
  </si>
  <si>
    <t>612.6</t>
  </si>
  <si>
    <t>Area 3-38</t>
  </si>
  <si>
    <t>LM-5</t>
  </si>
  <si>
    <t>Area 1-39</t>
  </si>
  <si>
    <t>LO-5</t>
  </si>
  <si>
    <t>433.6</t>
  </si>
  <si>
    <t>Area 2-39</t>
  </si>
  <si>
    <t>LN-2</t>
  </si>
  <si>
    <t>422.6</t>
  </si>
  <si>
    <t>Area 3-39</t>
  </si>
  <si>
    <t>LM-6</t>
  </si>
  <si>
    <t>Area 1-40</t>
  </si>
  <si>
    <t>LO-6</t>
  </si>
  <si>
    <t>Area 2-40</t>
  </si>
  <si>
    <t>LN-3</t>
  </si>
  <si>
    <t>487.1</t>
  </si>
  <si>
    <t>Area 3-40</t>
  </si>
  <si>
    <t>LM-7</t>
  </si>
  <si>
    <t>Area 1-41</t>
  </si>
  <si>
    <t>LO-7</t>
  </si>
  <si>
    <t>476.4</t>
  </si>
  <si>
    <t>Area 2-41</t>
  </si>
  <si>
    <t>LP-1</t>
  </si>
  <si>
    <t>Area 3-41</t>
  </si>
  <si>
    <t>LM-8</t>
  </si>
  <si>
    <t>Area 1-42</t>
  </si>
  <si>
    <t>LO-8</t>
  </si>
  <si>
    <t>353.5</t>
  </si>
  <si>
    <t>Area 2-42</t>
  </si>
  <si>
    <t>LP-2</t>
  </si>
  <si>
    <t>436.5</t>
  </si>
  <si>
    <t>Area 3-42</t>
  </si>
  <si>
    <t>LM-9</t>
  </si>
  <si>
    <t>420.1</t>
  </si>
  <si>
    <t>Area 1-43</t>
  </si>
  <si>
    <t>LQ-1</t>
  </si>
  <si>
    <t>410.8</t>
  </si>
  <si>
    <t>Area 2-43</t>
  </si>
  <si>
    <t>LP-3</t>
  </si>
  <si>
    <t>Area 3-43</t>
  </si>
  <si>
    <t>LM-10</t>
  </si>
  <si>
    <t>394.1</t>
  </si>
  <si>
    <t>Area 1-44</t>
  </si>
  <si>
    <t>LQ-2</t>
  </si>
  <si>
    <t>453.2</t>
  </si>
  <si>
    <t>Area 2-44</t>
  </si>
  <si>
    <t>LP-4</t>
  </si>
  <si>
    <t>646.3</t>
  </si>
  <si>
    <t>Area 3-44</t>
  </si>
  <si>
    <t>LM-11</t>
  </si>
  <si>
    <t>Area 1-45</t>
  </si>
  <si>
    <t>LQ-3</t>
  </si>
  <si>
    <t>484.5</t>
  </si>
  <si>
    <t>Area 2-45</t>
  </si>
  <si>
    <t>LP-5</t>
  </si>
  <si>
    <t>Area 3-45</t>
  </si>
  <si>
    <t>LM-12</t>
  </si>
  <si>
    <t>Area 1-46</t>
  </si>
  <si>
    <t>LQ-4</t>
  </si>
  <si>
    <t>789.1</t>
  </si>
  <si>
    <t>Area 2-46</t>
  </si>
  <si>
    <t>LP-6</t>
  </si>
  <si>
    <t>419.3</t>
  </si>
  <si>
    <t>Area 3-46</t>
  </si>
  <si>
    <t>LM-13</t>
  </si>
  <si>
    <t>395.1</t>
  </si>
  <si>
    <t>Area 1-47</t>
  </si>
  <si>
    <t>LQ-5</t>
  </si>
  <si>
    <t>918.3</t>
  </si>
  <si>
    <t>Area 2-47</t>
  </si>
  <si>
    <t>LP-7</t>
  </si>
  <si>
    <t>426.2</t>
  </si>
  <si>
    <t>Area 3-47</t>
  </si>
  <si>
    <t>LM-14</t>
  </si>
  <si>
    <t>388.7</t>
  </si>
  <si>
    <t>Area 1-48</t>
  </si>
  <si>
    <t>LQ-6</t>
  </si>
  <si>
    <t>744.7</t>
  </si>
  <si>
    <t>Area 2-48</t>
  </si>
  <si>
    <t>LP-8</t>
  </si>
  <si>
    <t>427.8</t>
  </si>
  <si>
    <t>Area 3-48</t>
  </si>
  <si>
    <t>LM-15</t>
  </si>
  <si>
    <t>Area 1-49</t>
  </si>
  <si>
    <t>LQ-7</t>
  </si>
  <si>
    <t>654.5</t>
  </si>
  <si>
    <t>Area 2-49</t>
  </si>
  <si>
    <t>LP-9</t>
  </si>
  <si>
    <t>415.7</t>
  </si>
  <si>
    <t>22187.6</t>
  </si>
  <si>
    <t>24982.2</t>
  </si>
  <si>
    <t>Area 2-50</t>
  </si>
  <si>
    <t>LP-10</t>
  </si>
  <si>
    <t>400.2</t>
  </si>
  <si>
    <t>23319.2</t>
  </si>
  <si>
    <t>60+60</t>
  </si>
  <si>
    <t>150+</t>
  </si>
  <si>
    <t>პერიოდი</t>
  </si>
  <si>
    <t>ეტაპი</t>
  </si>
  <si>
    <t>მთავარი აქტივობა</t>
  </si>
  <si>
    <t>პასუხისმგებელი</t>
  </si>
  <si>
    <t>KPI (წარმატების ინდიკატორი)</t>
  </si>
  <si>
    <t>კვირა 1-2</t>
  </si>
  <si>
    <t>მომზადება</t>
  </si>
  <si>
    <t>რენდერები, PDF-ების ფინალიზება, Landing Page-ის აწყობა.</t>
  </si>
  <si>
    <t>მარკეტინგი / დიზაინი</t>
  </si>
  <si>
    <t>მზა სარეკლამო მასალები</t>
  </si>
  <si>
    <t>კვირა 3-4</t>
  </si>
  <si>
    <t>ტესტირება</t>
  </si>
  <si>
    <t>Facebook/Instagram რეკლამის გაშვება მცირე სასტარტო ბიუჯეტით.</t>
  </si>
  <si>
    <t>მარკეტინგი</t>
  </si>
  <si>
    <t>50+ დაინტერესებული ლიდი</t>
  </si>
  <si>
    <t>კვირა 5-6</t>
  </si>
  <si>
    <t>დამუშავება</t>
  </si>
  <si>
    <t>ლიდებთან დარეკვა, კითხვებზე პასუხი, "Pre-sale" შეთავაზების გაგზავნა.</t>
  </si>
  <si>
    <t>გაყიდვების მენეჯერი</t>
  </si>
  <si>
    <t>20+ ცხელი კლიენტი</t>
  </si>
  <si>
    <t>კვირა 7-8</t>
  </si>
  <si>
    <t>დახურვა</t>
  </si>
  <si>
    <t>ხელშეკრულებების გაფორმება "Early Bird" ფასით.</t>
  </si>
  <si>
    <t>იურისტი / გაყიდვები/ბუღალტერია</t>
  </si>
  <si>
    <t>3-5 გაყიდული/დაჯავშნილი ერთეული</t>
  </si>
  <si>
    <t>თვე 3+</t>
  </si>
  <si>
    <t>მასშტაბი</t>
  </si>
  <si>
    <t>აქტიური რეკლამა, ტურები ლოკაციაზე, მშენებლობის PR.</t>
  </si>
  <si>
    <t>მთელი გუნდი</t>
  </si>
  <si>
    <t>სტაბილური გაყიდვები მინიმუმ (თვეში 4-6)</t>
  </si>
  <si>
    <t>პირველი ზოლო კანიონისპირას</t>
  </si>
  <si>
    <t>დინამიური გაყიდვა</t>
  </si>
  <si>
    <t>ნაკვეთის მ2</t>
  </si>
  <si>
    <t>ჯამი მ2</t>
  </si>
  <si>
    <t>$ 100</t>
  </si>
  <si>
    <t>$ 2,498,220</t>
  </si>
  <si>
    <t>დინამიური ცხრილიდან</t>
  </si>
  <si>
    <t>$ 40,981,664</t>
  </si>
  <si>
    <t>ერთეული</t>
  </si>
  <si>
    <t>$ 4,856,250</t>
  </si>
  <si>
    <t>$ 900</t>
  </si>
  <si>
    <t>$ 2,200</t>
  </si>
  <si>
    <t>$ 1,980,000</t>
  </si>
  <si>
    <t>$ 2,312,500</t>
  </si>
  <si>
    <t>$ 1,350</t>
  </si>
  <si>
    <t>$ 2,970,000</t>
  </si>
  <si>
    <t>$ 48,150,414</t>
  </si>
  <si>
    <t>$ 840</t>
  </si>
  <si>
    <t>$ 1,848,000</t>
  </si>
  <si>
    <t>$ 720</t>
  </si>
  <si>
    <t>$ 1,584,000</t>
  </si>
  <si>
    <t>$ 1,200</t>
  </si>
  <si>
    <t>$ 2,640,000</t>
  </si>
  <si>
    <t>$ 5,010</t>
  </si>
  <si>
    <t>$ 13,520,220</t>
  </si>
  <si>
    <t>$ 5,250,000</t>
  </si>
  <si>
    <t>$ 750,000</t>
  </si>
  <si>
    <t>მეორე ზოლი</t>
  </si>
  <si>
    <t>$ 80</t>
  </si>
  <si>
    <t>$ 1,865,536</t>
  </si>
  <si>
    <t>$ 19,860,000</t>
  </si>
  <si>
    <t>$ 3,712,500</t>
  </si>
  <si>
    <t>$ 360</t>
  </si>
  <si>
    <t>$ 2,000</t>
  </si>
  <si>
    <t>$ 720,000</t>
  </si>
  <si>
    <t>$ 2,400,000</t>
  </si>
  <si>
    <t>$ 2,610</t>
  </si>
  <si>
    <t>$ 5,220,000</t>
  </si>
  <si>
    <t>$ 1,080</t>
  </si>
  <si>
    <t>$ 2,160,000</t>
  </si>
  <si>
    <t>$ 1,336,125</t>
  </si>
  <si>
    <t>$ -</t>
  </si>
  <si>
    <t>$ 28,058,625</t>
  </si>
  <si>
    <t>$ 5,250</t>
  </si>
  <si>
    <t>$ 12,365,536</t>
  </si>
  <si>
    <t>მესამე ზოლი</t>
  </si>
  <si>
    <t>$ 70</t>
  </si>
  <si>
    <t>$ 1,553,132</t>
  </si>
  <si>
    <t>$ 4,815,041</t>
  </si>
  <si>
    <t>მინუს: კაპიტალური ხარჯები სუფთამოგება</t>
  </si>
  <si>
    <t>9,276,748</t>
  </si>
  <si>
    <t>$ 540</t>
  </si>
  <si>
    <t>$ 1,900</t>
  </si>
  <si>
    <t>$ 1,026,000</t>
  </si>
  <si>
    <t>$ 6,000,000</t>
  </si>
  <si>
    <t>$ 2,430</t>
  </si>
  <si>
    <t>$ 4,617,000</t>
  </si>
  <si>
    <t>$ 2,052,000</t>
  </si>
  <si>
    <t>$ 120</t>
  </si>
  <si>
    <t>$ 228,000</t>
  </si>
  <si>
    <t>$ 400</t>
  </si>
  <si>
    <t>$ 760,000</t>
  </si>
  <si>
    <t>$ 4,570</t>
  </si>
  <si>
    <t>$ 10,236,132</t>
  </si>
  <si>
    <t>მეოთხე ზოლი</t>
  </si>
  <si>
    <t>$ 60</t>
  </si>
  <si>
    <t>$ 679,776</t>
  </si>
  <si>
    <t>$ 1,596,000</t>
  </si>
  <si>
    <t>$ 684,000</t>
  </si>
  <si>
    <t>$ 600</t>
  </si>
  <si>
    <t>$ 1,140,000</t>
  </si>
  <si>
    <t>$ 4,859,776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</si>
</sst>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.m"/>
    <numFmt numFmtId="166" formatCode="yyyy.m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FF0000"/>
      <name val="Calibri"/>
    </font>
    <font>
      <color rgb="FF1F1F1F"/>
      <name val="&quot;Google Sans Mono&quot;"/>
    </font>
    <font>
      <sz val="14.0"/>
      <color rgb="FF000000"/>
      <name val="Calibri"/>
    </font>
    <font>
      <sz val="12.0"/>
      <color rgb="FF000000"/>
      <name val="Calibri"/>
    </font>
    <font>
      <sz val="12.0"/>
      <color rgb="FF00B050"/>
      <name val="Calibri"/>
    </font>
    <font>
      <b/>
      <sz val="14.0"/>
      <color rgb="FF00B05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  <fill>
      <patternFill patternType="solid">
        <fgColor rgb="FFEBF1DE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C4D79B"/>
        <bgColor rgb="FFC4D79B"/>
      </patternFill>
    </fill>
    <fill>
      <patternFill patternType="solid">
        <fgColor rgb="FFDDD9C4"/>
        <bgColor rgb="FFDDD9C4"/>
      </patternFill>
    </fill>
    <fill>
      <patternFill patternType="solid">
        <fgColor rgb="FFF0F4F9"/>
        <bgColor rgb="FFF0F4F9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ABF8F"/>
        <bgColor rgb="FFFABF8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5" fontId="2" numFmtId="0" xfId="0" applyAlignment="1" applyBorder="1" applyFill="1" applyFont="1">
      <alignment horizontal="right" readingOrder="0" shrinkToFit="0" vertical="bottom" wrapText="0"/>
    </xf>
    <xf borderId="0" fillId="5" fontId="2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7" fontId="1" numFmtId="164" xfId="0" applyAlignment="1" applyFont="1" applyNumberFormat="1">
      <alignment readingOrder="0" shrinkToFit="0" vertical="bottom" wrapText="0"/>
    </xf>
    <xf borderId="0" fillId="5" fontId="2" numFmtId="164" xfId="0" applyAlignment="1" applyFont="1" applyNumberFormat="1">
      <alignment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0" fillId="8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9" fontId="4" numFmtId="0" xfId="0" applyFill="1" applyFont="1"/>
    <xf borderId="1" fillId="2" fontId="1" numFmtId="0" xfId="0" applyAlignment="1" applyBorder="1" applyFont="1">
      <alignment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10" fontId="1" numFmtId="0" xfId="0" applyAlignment="1" applyFill="1" applyFont="1">
      <alignment readingOrder="0" shrinkToFit="0" vertical="bottom" wrapText="0"/>
    </xf>
    <xf borderId="0" fillId="11" fontId="1" numFmtId="0" xfId="0" applyAlignment="1" applyFill="1" applyFont="1">
      <alignment readingOrder="0" shrinkToFit="0" vertical="bottom" wrapText="0"/>
    </xf>
    <xf borderId="0" fillId="5" fontId="2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0" fillId="7" fontId="2" numFmtId="1" xfId="0" applyAlignment="1" applyFont="1" applyNumberFormat="1">
      <alignment horizontal="right" readingOrder="0" shrinkToFit="0" vertical="bottom" wrapText="0"/>
    </xf>
    <xf borderId="0" fillId="7" fontId="5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7" fontId="2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12" fontId="1" numFmtId="0" xfId="0" applyAlignment="1" applyFill="1" applyFont="1">
      <alignment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readingOrder="0" vertical="bottom"/>
    </xf>
    <xf borderId="0" fillId="0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1" numFmtId="166" xfId="0" applyAlignment="1" applyFont="1" applyNumberFormat="1">
      <alignment horizontal="right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10" fontId="1" numFmtId="0" xfId="0" applyAlignment="1" applyFont="1">
      <alignment shrinkToFit="0" vertical="bottom" wrapText="0"/>
    </xf>
    <xf borderId="1" fillId="5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28.75"/>
    <col customWidth="1" min="4" max="4" width="25.88"/>
  </cols>
  <sheetData>
    <row r="1">
      <c r="A1" s="1">
        <v>1.0</v>
      </c>
      <c r="B1" s="2" t="s">
        <v>0</v>
      </c>
      <c r="C1" s="3"/>
      <c r="D1" s="3"/>
    </row>
    <row r="2">
      <c r="A2" s="1">
        <v>2.0</v>
      </c>
      <c r="B2" s="4" t="s">
        <v>1</v>
      </c>
      <c r="C2" s="5"/>
      <c r="D2" s="3"/>
    </row>
    <row r="3">
      <c r="A3" s="1">
        <v>3.0</v>
      </c>
      <c r="B3" s="6" t="s">
        <v>2</v>
      </c>
      <c r="C3" s="3"/>
      <c r="D3" s="6">
        <f>'Лист2'!E3+'Лист2'!E2</f>
        <v>6000000</v>
      </c>
    </row>
    <row r="4">
      <c r="A4" s="1">
        <v>4.0</v>
      </c>
      <c r="B4" s="6" t="s">
        <v>3</v>
      </c>
      <c r="C4" s="3"/>
      <c r="D4" s="6">
        <f>'Лист2'!E5+'Лист2'!E6+'Лист2'!E7+'Лист2'!E9+'Лист2'!E10</f>
        <v>28058625</v>
      </c>
    </row>
    <row r="5">
      <c r="A5" s="1">
        <v>5.0</v>
      </c>
      <c r="B5" s="6" t="s">
        <v>4</v>
      </c>
      <c r="C5" s="3"/>
      <c r="D5" s="7">
        <f>'Лист2'!E11</f>
        <v>34058625</v>
      </c>
    </row>
    <row r="6">
      <c r="A6" s="3"/>
      <c r="B6" s="3"/>
      <c r="C6" s="3"/>
      <c r="D6" s="3"/>
    </row>
    <row r="7">
      <c r="A7" s="1">
        <v>1.0</v>
      </c>
      <c r="B7" s="8" t="s">
        <v>5</v>
      </c>
      <c r="C7" s="9"/>
      <c r="D7" s="3"/>
    </row>
    <row r="8">
      <c r="A8" s="1">
        <v>2.0</v>
      </c>
      <c r="B8" s="6" t="s">
        <v>6</v>
      </c>
      <c r="C8" s="10"/>
      <c r="D8" s="11">
        <f>'Лист3'!G10</f>
        <v>44331690</v>
      </c>
    </row>
    <row r="9">
      <c r="A9" s="1">
        <v>3.0</v>
      </c>
      <c r="B9" s="6" t="s">
        <v>7</v>
      </c>
      <c r="C9" s="10"/>
      <c r="D9" s="12">
        <f>10%*D8</f>
        <v>4433169</v>
      </c>
    </row>
    <row r="10">
      <c r="A10" s="1">
        <v>4.0</v>
      </c>
      <c r="B10" s="6" t="s">
        <v>8</v>
      </c>
      <c r="C10" s="10"/>
      <c r="D10" s="13" t="s">
        <v>9</v>
      </c>
    </row>
    <row r="11">
      <c r="A11" s="1">
        <v>5.0</v>
      </c>
      <c r="B11" s="6" t="s">
        <v>10</v>
      </c>
      <c r="C11" s="3"/>
      <c r="D11" s="14">
        <f>'Лист3'!E31</f>
        <v>6000000</v>
      </c>
    </row>
    <row r="12">
      <c r="A12" s="3"/>
      <c r="B12" s="3"/>
      <c r="C12" s="3"/>
      <c r="D12" s="3"/>
    </row>
    <row r="13">
      <c r="A13" s="1">
        <v>1.0</v>
      </c>
      <c r="B13" s="15" t="s">
        <v>11</v>
      </c>
      <c r="C13" s="16"/>
      <c r="D13" s="3"/>
    </row>
    <row r="14">
      <c r="A14" s="1">
        <v>2.0</v>
      </c>
      <c r="B14" s="6" t="s">
        <v>12</v>
      </c>
      <c r="C14" s="3"/>
      <c r="D14" s="17">
        <f>'Лист3'!D25</f>
        <v>857779.2</v>
      </c>
    </row>
    <row r="15">
      <c r="A15" s="1">
        <v>3.0</v>
      </c>
      <c r="B15" s="6" t="s">
        <v>13</v>
      </c>
      <c r="C15" s="3"/>
      <c r="D15" s="18">
        <f>'Лист3'!E30</f>
        <v>712500</v>
      </c>
    </row>
    <row r="16">
      <c r="A16" s="1">
        <v>4.0</v>
      </c>
      <c r="B16" s="6" t="s">
        <v>14</v>
      </c>
      <c r="C16" s="3"/>
      <c r="D16" s="19">
        <f>D14+D15</f>
        <v>1570279.2</v>
      </c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1">
        <v>1.0</v>
      </c>
      <c r="B19" s="20" t="s">
        <v>15</v>
      </c>
      <c r="C19" s="21"/>
      <c r="D19" s="22" t="s">
        <v>16</v>
      </c>
    </row>
    <row r="20">
      <c r="A20" s="1">
        <v>2.0</v>
      </c>
      <c r="B20" s="6" t="s">
        <v>17</v>
      </c>
      <c r="C20" s="3"/>
      <c r="D20" s="23"/>
    </row>
    <row r="21">
      <c r="A21" s="1">
        <v>3.0</v>
      </c>
      <c r="B21" s="6" t="s">
        <v>18</v>
      </c>
      <c r="C21" s="24" t="s">
        <v>19</v>
      </c>
      <c r="D21" s="24">
        <v>81818.0</v>
      </c>
    </row>
    <row r="22">
      <c r="A22" s="1">
        <v>4.0</v>
      </c>
      <c r="B22" s="6" t="s">
        <v>20</v>
      </c>
      <c r="C22" s="24" t="s">
        <v>19</v>
      </c>
      <c r="D22" s="24">
        <v>29970.0</v>
      </c>
    </row>
    <row r="23">
      <c r="A23" s="1">
        <v>5.0</v>
      </c>
      <c r="B23" s="6" t="s">
        <v>21</v>
      </c>
      <c r="C23" s="24" t="s">
        <v>19</v>
      </c>
      <c r="D23" s="24">
        <v>21723.0</v>
      </c>
    </row>
    <row r="24">
      <c r="A24" s="1">
        <v>6.0</v>
      </c>
      <c r="B24" s="6" t="s">
        <v>22</v>
      </c>
      <c r="C24" s="24" t="s">
        <v>19</v>
      </c>
      <c r="D24" s="24">
        <v>16489.0</v>
      </c>
    </row>
    <row r="25">
      <c r="A25" s="1">
        <v>7.0</v>
      </c>
      <c r="B25" s="6" t="s">
        <v>23</v>
      </c>
      <c r="C25" s="24" t="s">
        <v>19</v>
      </c>
      <c r="D25" s="24">
        <v>150000.0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4.63"/>
  </cols>
  <sheetData>
    <row r="1">
      <c r="A1" s="3"/>
      <c r="B1" s="15" t="s">
        <v>24</v>
      </c>
      <c r="C1" s="6" t="s">
        <v>25</v>
      </c>
      <c r="D1" s="6" t="s">
        <v>26</v>
      </c>
      <c r="E1" s="6" t="s">
        <v>27</v>
      </c>
    </row>
    <row r="2">
      <c r="A2" s="1">
        <v>1.0</v>
      </c>
      <c r="B2" s="6" t="s">
        <v>28</v>
      </c>
      <c r="C2" s="1">
        <v>150000.0</v>
      </c>
      <c r="D2" s="1">
        <v>35.0</v>
      </c>
      <c r="E2" s="6">
        <f t="shared" ref="E2:E9" si="1">D2*C2</f>
        <v>5250000</v>
      </c>
    </row>
    <row r="3">
      <c r="A3" s="1">
        <v>2.0</v>
      </c>
      <c r="B3" s="6" t="s">
        <v>29</v>
      </c>
      <c r="C3" s="1">
        <v>150000.0</v>
      </c>
      <c r="D3" s="1">
        <v>5.0</v>
      </c>
      <c r="E3" s="6">
        <f t="shared" si="1"/>
        <v>750000</v>
      </c>
    </row>
    <row r="4">
      <c r="A4" s="3"/>
      <c r="B4" s="8" t="s">
        <v>30</v>
      </c>
      <c r="C4" s="3"/>
      <c r="D4" s="3"/>
      <c r="E4" s="6">
        <f t="shared" si="1"/>
        <v>0</v>
      </c>
    </row>
    <row r="5">
      <c r="A5" s="1">
        <v>1.0</v>
      </c>
      <c r="B5" s="6" t="s">
        <v>31</v>
      </c>
      <c r="C5" s="1">
        <v>16550.0</v>
      </c>
      <c r="D5" s="1">
        <v>1200.0</v>
      </c>
      <c r="E5" s="6">
        <f t="shared" si="1"/>
        <v>19860000</v>
      </c>
    </row>
    <row r="6">
      <c r="A6" s="1">
        <v>2.0</v>
      </c>
      <c r="B6" s="6" t="s">
        <v>32</v>
      </c>
      <c r="C6" s="1">
        <v>3375.0</v>
      </c>
      <c r="D6" s="1">
        <v>1100.0</v>
      </c>
      <c r="E6" s="6">
        <f t="shared" si="1"/>
        <v>3712500</v>
      </c>
    </row>
    <row r="7">
      <c r="A7" s="1">
        <v>3.0</v>
      </c>
      <c r="B7" s="6" t="s">
        <v>33</v>
      </c>
      <c r="C7" s="1">
        <v>3000.0</v>
      </c>
      <c r="D7" s="1">
        <v>800.0</v>
      </c>
      <c r="E7" s="6">
        <f t="shared" si="1"/>
        <v>2400000</v>
      </c>
    </row>
    <row r="8">
      <c r="A8" s="3"/>
      <c r="B8" s="4" t="s">
        <v>34</v>
      </c>
      <c r="C8" s="3"/>
      <c r="D8" s="3"/>
      <c r="E8" s="6">
        <f t="shared" si="1"/>
        <v>0</v>
      </c>
    </row>
    <row r="9">
      <c r="A9" s="1">
        <v>1.0</v>
      </c>
      <c r="B9" s="6" t="s">
        <v>35</v>
      </c>
      <c r="C9" s="1">
        <v>150000.0</v>
      </c>
      <c r="D9" s="1">
        <v>5.0</v>
      </c>
      <c r="E9" s="6">
        <f t="shared" si="1"/>
        <v>750000</v>
      </c>
    </row>
    <row r="10">
      <c r="A10" s="1">
        <v>2.0</v>
      </c>
      <c r="B10" s="6" t="s">
        <v>36</v>
      </c>
      <c r="C10" s="3"/>
      <c r="D10" s="25">
        <v>0.05</v>
      </c>
      <c r="E10" s="26">
        <f>D10*(E5+E6+E7+E9)</f>
        <v>1336125</v>
      </c>
    </row>
    <row r="11">
      <c r="A11" s="1">
        <v>3.0</v>
      </c>
      <c r="B11" s="6" t="s">
        <v>37</v>
      </c>
      <c r="C11" s="3"/>
      <c r="D11" s="3"/>
      <c r="E11" s="26">
        <f>SUM(E2:E10)</f>
        <v>34058625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7.63"/>
  </cols>
  <sheetData>
    <row r="1">
      <c r="A1" s="3"/>
      <c r="B1" s="27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3"/>
      <c r="I1" s="3"/>
    </row>
    <row r="2">
      <c r="A2" s="3"/>
      <c r="B2" s="8" t="s">
        <v>44</v>
      </c>
      <c r="C2" s="1">
        <v>44.0</v>
      </c>
      <c r="D2" s="1">
        <v>60.0</v>
      </c>
      <c r="E2" s="28">
        <v>2640.0</v>
      </c>
      <c r="F2" s="1">
        <v>1850.0</v>
      </c>
      <c r="G2" s="6">
        <f t="shared" ref="G2:G9" si="1">F2*E2</f>
        <v>4884000</v>
      </c>
      <c r="H2" s="3"/>
      <c r="I2" s="3"/>
    </row>
    <row r="3">
      <c r="A3" s="3"/>
      <c r="B3" s="8" t="s">
        <v>45</v>
      </c>
      <c r="C3" s="1">
        <v>75.0</v>
      </c>
      <c r="D3" s="1">
        <v>90.0</v>
      </c>
      <c r="E3" s="1">
        <v>6750.0</v>
      </c>
      <c r="F3" s="1">
        <v>1850.0</v>
      </c>
      <c r="G3" s="6">
        <f t="shared" si="1"/>
        <v>12487500</v>
      </c>
      <c r="H3" s="3"/>
      <c r="I3" s="3"/>
    </row>
    <row r="4">
      <c r="A4" s="3"/>
      <c r="B4" s="8" t="s">
        <v>46</v>
      </c>
      <c r="C4" s="1">
        <v>29.0</v>
      </c>
      <c r="D4" s="1">
        <v>120.0</v>
      </c>
      <c r="E4" s="1">
        <v>3480.0</v>
      </c>
      <c r="F4" s="1">
        <v>1850.0</v>
      </c>
      <c r="G4" s="6">
        <f t="shared" si="1"/>
        <v>6438000</v>
      </c>
      <c r="H4" s="3"/>
      <c r="I4" s="3"/>
    </row>
    <row r="5">
      <c r="A5" s="3"/>
      <c r="B5" s="8" t="s">
        <v>47</v>
      </c>
      <c r="C5" s="1">
        <v>14.0</v>
      </c>
      <c r="D5" s="1">
        <v>120.0</v>
      </c>
      <c r="E5" s="1">
        <v>1680.0</v>
      </c>
      <c r="F5" s="1">
        <v>1850.0</v>
      </c>
      <c r="G5" s="6">
        <f t="shared" si="1"/>
        <v>3108000</v>
      </c>
      <c r="H5" s="3"/>
      <c r="I5" s="3"/>
    </row>
    <row r="6">
      <c r="A6" s="3"/>
      <c r="B6" s="8" t="s">
        <v>48</v>
      </c>
      <c r="C6" s="1">
        <v>10.0</v>
      </c>
      <c r="D6" s="1">
        <v>200.0</v>
      </c>
      <c r="E6" s="1">
        <v>2000.0</v>
      </c>
      <c r="F6" s="1">
        <v>1850.0</v>
      </c>
      <c r="G6" s="6">
        <f t="shared" si="1"/>
        <v>3700000</v>
      </c>
      <c r="H6" s="3"/>
      <c r="I6" s="3"/>
    </row>
    <row r="7">
      <c r="A7" s="3"/>
      <c r="B7" s="29" t="s">
        <v>49</v>
      </c>
      <c r="C7" s="1">
        <v>75.0</v>
      </c>
      <c r="D7" s="1">
        <v>35.0</v>
      </c>
      <c r="E7" s="1">
        <v>2625.0</v>
      </c>
      <c r="F7" s="1">
        <v>1850.0</v>
      </c>
      <c r="G7" s="6">
        <f t="shared" si="1"/>
        <v>4856250</v>
      </c>
      <c r="H7" s="3"/>
      <c r="I7" s="3"/>
    </row>
    <row r="8">
      <c r="A8" s="3"/>
      <c r="B8" s="29" t="s">
        <v>50</v>
      </c>
      <c r="C8" s="1">
        <v>25.0</v>
      </c>
      <c r="D8" s="1">
        <v>50.0</v>
      </c>
      <c r="E8" s="1">
        <v>1250.0</v>
      </c>
      <c r="F8" s="1">
        <v>1850.0</v>
      </c>
      <c r="G8" s="6">
        <f t="shared" si="1"/>
        <v>2312500</v>
      </c>
      <c r="H8" s="3"/>
      <c r="I8" s="3"/>
    </row>
    <row r="9">
      <c r="A9" s="3"/>
      <c r="B9" s="30" t="s">
        <v>51</v>
      </c>
      <c r="C9" s="1">
        <v>172.0</v>
      </c>
      <c r="D9" s="3"/>
      <c r="E9" s="1">
        <v>81818.0</v>
      </c>
      <c r="F9" s="1">
        <v>80.0</v>
      </c>
      <c r="G9" s="6">
        <f t="shared" si="1"/>
        <v>6545440</v>
      </c>
      <c r="H9" s="3"/>
      <c r="I9" s="3"/>
    </row>
    <row r="10">
      <c r="A10" s="3"/>
      <c r="B10" s="6" t="s">
        <v>52</v>
      </c>
      <c r="C10" s="3">
        <f>C9+C8+C7</f>
        <v>272</v>
      </c>
      <c r="D10" s="3"/>
      <c r="E10" s="3"/>
      <c r="F10" s="3"/>
      <c r="G10" s="14">
        <f>SUM(G2:G9)</f>
        <v>44331690</v>
      </c>
      <c r="H10" s="3"/>
      <c r="I10" s="3"/>
    </row>
    <row r="11">
      <c r="A11" s="3"/>
      <c r="B11" s="3"/>
      <c r="C11" s="3"/>
      <c r="D11" s="3"/>
      <c r="E11" s="3"/>
      <c r="F11" s="3"/>
      <c r="G11" s="31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6" t="s">
        <v>53</v>
      </c>
      <c r="C16" s="6" t="s">
        <v>54</v>
      </c>
      <c r="D16" s="6" t="s">
        <v>55</v>
      </c>
      <c r="E16" s="3"/>
      <c r="F16" s="3"/>
      <c r="G16" s="3"/>
      <c r="H16" s="3"/>
      <c r="I16" s="3"/>
    </row>
    <row r="17">
      <c r="A17" s="3"/>
      <c r="B17" s="6" t="s">
        <v>56</v>
      </c>
      <c r="C17" s="6" t="s">
        <v>57</v>
      </c>
      <c r="D17" s="1">
        <f>C10</f>
        <v>272</v>
      </c>
      <c r="E17" s="3"/>
      <c r="F17" s="3"/>
      <c r="G17" s="3"/>
      <c r="H17" s="3"/>
      <c r="I17" s="3"/>
    </row>
    <row r="18">
      <c r="A18" s="3"/>
      <c r="B18" s="6" t="s">
        <v>58</v>
      </c>
      <c r="C18" s="6" t="s">
        <v>59</v>
      </c>
      <c r="D18" s="1">
        <v>120.0</v>
      </c>
      <c r="E18" s="3"/>
      <c r="F18" s="3"/>
      <c r="G18" s="3"/>
      <c r="H18" s="3"/>
      <c r="I18" s="3"/>
    </row>
    <row r="19">
      <c r="A19" s="3"/>
      <c r="B19" s="6" t="s">
        <v>60</v>
      </c>
      <c r="C19" s="6" t="s">
        <v>61</v>
      </c>
      <c r="D19" s="25">
        <v>0.45</v>
      </c>
      <c r="E19" s="3"/>
      <c r="F19" s="3"/>
      <c r="G19" s="3"/>
      <c r="H19" s="3"/>
      <c r="I19" s="3"/>
    </row>
    <row r="20">
      <c r="A20" s="3"/>
      <c r="B20" s="6" t="s">
        <v>62</v>
      </c>
      <c r="C20" s="6" t="s">
        <v>63</v>
      </c>
      <c r="D20" s="1">
        <f>E36</f>
        <v>5361120</v>
      </c>
      <c r="E20" s="3"/>
      <c r="F20" s="3"/>
      <c r="G20" s="3"/>
      <c r="H20" s="3"/>
      <c r="I20" s="3"/>
    </row>
    <row r="21">
      <c r="A21" s="3"/>
      <c r="B21" s="6" t="s">
        <v>64</v>
      </c>
      <c r="C21" s="6" t="s">
        <v>63</v>
      </c>
      <c r="D21" s="32">
        <f>G36</f>
        <v>2144448</v>
      </c>
      <c r="E21" s="3"/>
      <c r="F21" s="3"/>
      <c r="G21" s="3"/>
      <c r="H21" s="3"/>
      <c r="I21" s="3"/>
    </row>
    <row r="22">
      <c r="A22" s="3"/>
      <c r="B22" s="6" t="s">
        <v>65</v>
      </c>
      <c r="C22" s="6" t="s">
        <v>63</v>
      </c>
      <c r="D22" s="32">
        <f>D20*15%</f>
        <v>804168</v>
      </c>
      <c r="E22" s="3"/>
      <c r="F22" s="3"/>
      <c r="G22" s="3"/>
      <c r="H22" s="3"/>
      <c r="I22" s="3"/>
    </row>
    <row r="23">
      <c r="A23" s="3"/>
      <c r="B23" s="6" t="s">
        <v>66</v>
      </c>
      <c r="C23" s="6" t="s">
        <v>63</v>
      </c>
      <c r="D23" s="32">
        <f>D20*5%</f>
        <v>268056</v>
      </c>
      <c r="E23" s="3"/>
      <c r="F23" s="3"/>
      <c r="G23" s="3"/>
      <c r="H23" s="3"/>
      <c r="I23" s="3"/>
    </row>
    <row r="24">
      <c r="A24" s="3"/>
      <c r="B24" s="6" t="s">
        <v>67</v>
      </c>
      <c r="C24" s="6" t="s">
        <v>63</v>
      </c>
      <c r="D24" s="33">
        <f>D21-D22-D23</f>
        <v>1072224</v>
      </c>
      <c r="E24" s="3"/>
      <c r="F24" s="3"/>
      <c r="G24" s="3"/>
      <c r="H24" s="3"/>
      <c r="I24" s="3"/>
    </row>
    <row r="25">
      <c r="A25" s="3"/>
      <c r="B25" s="6" t="s">
        <v>68</v>
      </c>
      <c r="C25" s="3"/>
      <c r="D25" s="34">
        <f>D24*80%</f>
        <v>857779.2</v>
      </c>
      <c r="E25" s="3"/>
      <c r="F25" s="3"/>
      <c r="G25" s="3"/>
      <c r="H25" s="3"/>
      <c r="I25" s="3"/>
    </row>
    <row r="26">
      <c r="A26" s="3"/>
      <c r="B26" s="3"/>
      <c r="C26" s="3"/>
      <c r="D26" s="3"/>
      <c r="E26" s="3"/>
      <c r="F26" s="3"/>
      <c r="G26" s="3"/>
      <c r="H26" s="3"/>
      <c r="I26" s="3"/>
    </row>
    <row r="27">
      <c r="A27" s="3"/>
      <c r="B27" s="6" t="s">
        <v>53</v>
      </c>
      <c r="C27" s="6" t="s">
        <v>69</v>
      </c>
      <c r="D27" s="6" t="s">
        <v>70</v>
      </c>
      <c r="E27" s="6" t="s">
        <v>43</v>
      </c>
      <c r="F27" s="3"/>
      <c r="G27" s="3"/>
      <c r="H27" s="3"/>
      <c r="I27" s="3"/>
    </row>
    <row r="28">
      <c r="A28" s="3"/>
      <c r="B28" s="6" t="s">
        <v>71</v>
      </c>
      <c r="C28" s="1" t="s">
        <v>72</v>
      </c>
      <c r="D28" s="1">
        <v>900.0</v>
      </c>
      <c r="E28" s="6" t="s">
        <v>73</v>
      </c>
      <c r="F28" s="3"/>
      <c r="G28" s="3"/>
      <c r="H28" s="3"/>
      <c r="I28" s="3"/>
    </row>
    <row r="29">
      <c r="A29" s="3"/>
      <c r="B29" s="6" t="s">
        <v>74</v>
      </c>
      <c r="C29" s="35">
        <f>E50</f>
        <v>2850000</v>
      </c>
      <c r="D29" s="3"/>
      <c r="E29" s="3"/>
      <c r="F29" s="3"/>
      <c r="G29" s="3"/>
      <c r="H29" s="3"/>
      <c r="I29" s="3"/>
    </row>
    <row r="30">
      <c r="A30" s="3"/>
      <c r="B30" s="6" t="s">
        <v>75</v>
      </c>
      <c r="C30" s="25">
        <v>0.25</v>
      </c>
      <c r="D30" s="3"/>
      <c r="E30" s="18">
        <f>C29*C30</f>
        <v>712500</v>
      </c>
      <c r="F30" s="3"/>
      <c r="G30" s="3"/>
      <c r="H30" s="3"/>
      <c r="I30" s="3"/>
    </row>
    <row r="31">
      <c r="A31" s="3"/>
      <c r="B31" s="6" t="s">
        <v>76</v>
      </c>
      <c r="C31" s="1">
        <v>3000.0</v>
      </c>
      <c r="D31" s="1">
        <v>2000.0</v>
      </c>
      <c r="E31" s="14">
        <f>D31*C31</f>
        <v>6000000</v>
      </c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3"/>
      <c r="B34" s="3"/>
      <c r="C34" s="3"/>
      <c r="D34" s="3"/>
      <c r="E34" s="3"/>
      <c r="F34" s="3"/>
      <c r="G34" s="3"/>
      <c r="H34" s="3"/>
      <c r="I34" s="3"/>
    </row>
    <row r="35">
      <c r="A35" s="3"/>
      <c r="B35" s="24" t="s">
        <v>77</v>
      </c>
      <c r="C35" s="6" t="s">
        <v>78</v>
      </c>
      <c r="D35" s="6" t="s">
        <v>79</v>
      </c>
      <c r="E35" s="6" t="s">
        <v>80</v>
      </c>
      <c r="F35" s="6" t="s">
        <v>81</v>
      </c>
      <c r="G35" s="6" t="s">
        <v>82</v>
      </c>
      <c r="H35" s="6" t="s">
        <v>83</v>
      </c>
      <c r="I35" s="3"/>
    </row>
    <row r="36">
      <c r="A36" s="3"/>
      <c r="B36" s="1">
        <v>1.0</v>
      </c>
      <c r="C36" s="25">
        <v>0.45</v>
      </c>
      <c r="D36" s="1">
        <v>120.0</v>
      </c>
      <c r="E36" s="1">
        <f>D17*D36*365*C36</f>
        <v>5361120</v>
      </c>
      <c r="F36" s="32">
        <f t="shared" ref="F36:F40" si="3">E36*60%</f>
        <v>3216672</v>
      </c>
      <c r="G36" s="32">
        <f t="shared" ref="G36:G40" si="4">E36-F36</f>
        <v>2144448</v>
      </c>
      <c r="H36" s="25">
        <f>G10/F36*0.01</f>
        <v>0.1378184969</v>
      </c>
      <c r="I36" s="3"/>
    </row>
    <row r="37">
      <c r="A37" s="3"/>
      <c r="B37" s="1">
        <v>2.0</v>
      </c>
      <c r="C37" s="25">
        <f t="shared" ref="C37:D37" si="2">C36*1.03</f>
        <v>0.4635</v>
      </c>
      <c r="D37" s="32">
        <f t="shared" si="2"/>
        <v>123.6</v>
      </c>
      <c r="E37" s="32">
        <f>D17*D37*365*C37</f>
        <v>5687612.208</v>
      </c>
      <c r="F37" s="32">
        <f t="shared" si="3"/>
        <v>3412567.325</v>
      </c>
      <c r="G37" s="32">
        <f t="shared" si="4"/>
        <v>2275044.883</v>
      </c>
      <c r="H37" s="25"/>
      <c r="I37" s="3"/>
    </row>
    <row r="38">
      <c r="A38" s="3"/>
      <c r="B38" s="1">
        <v>3.0</v>
      </c>
      <c r="C38" s="25">
        <f t="shared" ref="C38:D38" si="5">C37*1.03</f>
        <v>0.477405</v>
      </c>
      <c r="D38" s="32">
        <f t="shared" si="5"/>
        <v>127.308</v>
      </c>
      <c r="E38" s="32">
        <f>D17*D38*365*C38</f>
        <v>6033987.791</v>
      </c>
      <c r="F38" s="32">
        <f t="shared" si="3"/>
        <v>3620392.675</v>
      </c>
      <c r="G38" s="32">
        <f t="shared" si="4"/>
        <v>2413595.117</v>
      </c>
      <c r="H38" s="25"/>
      <c r="I38" s="3"/>
    </row>
    <row r="39">
      <c r="A39" s="3"/>
      <c r="B39" s="1">
        <v>4.0</v>
      </c>
      <c r="C39" s="25">
        <f t="shared" ref="C39:D39" si="6">C38*1.03</f>
        <v>0.49172715</v>
      </c>
      <c r="D39" s="32">
        <f t="shared" si="6"/>
        <v>131.12724</v>
      </c>
      <c r="E39" s="32">
        <f>D17*D39*365*C39</f>
        <v>6401457.648</v>
      </c>
      <c r="F39" s="32">
        <f t="shared" si="3"/>
        <v>3840874.589</v>
      </c>
      <c r="G39" s="32">
        <f t="shared" si="4"/>
        <v>2560583.059</v>
      </c>
      <c r="H39" s="25"/>
      <c r="I39" s="3"/>
    </row>
    <row r="40">
      <c r="A40" s="3"/>
      <c r="B40" s="1">
        <v>5.0</v>
      </c>
      <c r="C40" s="25">
        <f t="shared" ref="C40:D40" si="7">C39*1.03</f>
        <v>0.5064789645</v>
      </c>
      <c r="D40" s="32">
        <f t="shared" si="7"/>
        <v>135.0610572</v>
      </c>
      <c r="E40" s="32">
        <f>D17*D40*365*C40</f>
        <v>6791306.419</v>
      </c>
      <c r="F40" s="32">
        <f t="shared" si="3"/>
        <v>4074783.851</v>
      </c>
      <c r="G40" s="32">
        <f t="shared" si="4"/>
        <v>2716522.567</v>
      </c>
      <c r="H40" s="25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3"/>
      <c r="B43" s="3"/>
      <c r="C43" s="3"/>
      <c r="D43" s="3"/>
      <c r="E43" s="3"/>
      <c r="F43" s="3"/>
      <c r="G43" s="3"/>
      <c r="H43" s="3"/>
      <c r="I43" s="3"/>
    </row>
    <row r="44">
      <c r="A44" s="3"/>
      <c r="B44" s="6" t="s">
        <v>84</v>
      </c>
      <c r="C44" s="6" t="s">
        <v>85</v>
      </c>
      <c r="D44" s="6" t="s">
        <v>86</v>
      </c>
      <c r="E44" s="6" t="s">
        <v>87</v>
      </c>
      <c r="F44" s="6" t="s">
        <v>88</v>
      </c>
      <c r="G44" s="6" t="s">
        <v>89</v>
      </c>
      <c r="I44" s="3"/>
    </row>
    <row r="45">
      <c r="A45" s="3"/>
      <c r="B45" s="6" t="s">
        <v>90</v>
      </c>
      <c r="C45" s="6" t="s">
        <v>91</v>
      </c>
      <c r="D45" s="6" t="s">
        <v>92</v>
      </c>
      <c r="E45" s="35">
        <v>1500000.0</v>
      </c>
      <c r="F45" s="25">
        <v>0.25</v>
      </c>
      <c r="G45" s="35">
        <f t="shared" ref="G45:G49" si="8">E45*F45</f>
        <v>375000</v>
      </c>
      <c r="H45" s="3"/>
      <c r="I45" s="3"/>
    </row>
    <row r="46">
      <c r="A46" s="3"/>
      <c r="B46" s="6" t="s">
        <v>93</v>
      </c>
      <c r="C46" s="6" t="s">
        <v>94</v>
      </c>
      <c r="D46" s="6" t="s">
        <v>95</v>
      </c>
      <c r="E46" s="35">
        <v>350000.0</v>
      </c>
      <c r="F46" s="25">
        <v>0.5</v>
      </c>
      <c r="G46" s="35">
        <f t="shared" si="8"/>
        <v>175000</v>
      </c>
      <c r="H46" s="3"/>
      <c r="I46" s="3"/>
    </row>
    <row r="47">
      <c r="A47" s="3"/>
      <c r="B47" s="6" t="s">
        <v>96</v>
      </c>
      <c r="C47" s="6" t="s">
        <v>97</v>
      </c>
      <c r="D47" s="6" t="s">
        <v>96</v>
      </c>
      <c r="E47" s="35">
        <v>400000.0</v>
      </c>
      <c r="F47" s="25">
        <v>0.3</v>
      </c>
      <c r="G47" s="35">
        <f t="shared" si="8"/>
        <v>120000</v>
      </c>
      <c r="H47" s="3"/>
      <c r="I47" s="3"/>
    </row>
    <row r="48">
      <c r="A48" s="3"/>
      <c r="B48" s="6" t="s">
        <v>98</v>
      </c>
      <c r="C48" s="6" t="s">
        <v>99</v>
      </c>
      <c r="D48" s="6" t="s">
        <v>100</v>
      </c>
      <c r="E48" s="35">
        <v>250000.0</v>
      </c>
      <c r="F48" s="25">
        <v>0.4</v>
      </c>
      <c r="G48" s="35">
        <f t="shared" si="8"/>
        <v>100000</v>
      </c>
      <c r="H48" s="3"/>
      <c r="I48" s="3"/>
    </row>
    <row r="49">
      <c r="A49" s="3"/>
      <c r="B49" s="6" t="s">
        <v>101</v>
      </c>
      <c r="C49" s="6" t="s">
        <v>102</v>
      </c>
      <c r="D49" s="6" t="s">
        <v>103</v>
      </c>
      <c r="E49" s="35">
        <v>80000.0</v>
      </c>
      <c r="F49" s="25">
        <v>1.0</v>
      </c>
      <c r="G49" s="35">
        <f t="shared" si="8"/>
        <v>80000</v>
      </c>
      <c r="H49" s="3"/>
      <c r="I49" s="3"/>
    </row>
    <row r="50">
      <c r="A50" s="3"/>
      <c r="B50" s="6" t="s">
        <v>104</v>
      </c>
      <c r="C50" s="6" t="s">
        <v>105</v>
      </c>
      <c r="D50" s="6" t="s">
        <v>52</v>
      </c>
      <c r="E50" s="35">
        <v>2850000.0</v>
      </c>
      <c r="F50" s="6" t="s">
        <v>106</v>
      </c>
      <c r="G50" s="36">
        <f>SUM(G45:G49)</f>
        <v>850000</v>
      </c>
      <c r="H50" s="3"/>
      <c r="I50" s="3"/>
    </row>
    <row r="51">
      <c r="A51" s="3"/>
      <c r="B51" s="6" t="s">
        <v>107</v>
      </c>
      <c r="C51" s="6" t="s">
        <v>108</v>
      </c>
      <c r="D51" s="3"/>
      <c r="E51" s="3"/>
      <c r="F51" s="3"/>
      <c r="G51" s="3"/>
      <c r="H51" s="3"/>
      <c r="I51" s="3"/>
    </row>
  </sheetData>
  <mergeCells count="1">
    <mergeCell ref="G44:H44"/>
  </mergeCells>
  <conditionalFormatting sqref="E45:E5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>
      <c r="A1" s="3"/>
      <c r="B1" s="3"/>
      <c r="C1" s="3"/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  <c r="I1" s="6" t="s">
        <v>114</v>
      </c>
      <c r="J1" s="6" t="s">
        <v>115</v>
      </c>
      <c r="K1" s="3"/>
    </row>
    <row r="2">
      <c r="A2" s="3"/>
      <c r="B2" s="1" t="s">
        <v>116</v>
      </c>
      <c r="C2" s="3"/>
      <c r="D2" s="6" t="s">
        <v>117</v>
      </c>
      <c r="E2" s="6" t="s">
        <v>118</v>
      </c>
      <c r="F2" s="1">
        <v>35.0</v>
      </c>
      <c r="G2" s="1" t="s">
        <v>119</v>
      </c>
      <c r="H2" s="3"/>
      <c r="I2" s="1" t="s">
        <v>119</v>
      </c>
      <c r="J2" s="6" t="s">
        <v>120</v>
      </c>
      <c r="K2" s="3"/>
    </row>
    <row r="3">
      <c r="A3" s="3"/>
      <c r="B3" s="1">
        <v>25.0</v>
      </c>
      <c r="C3" s="3"/>
      <c r="D3" s="6" t="s">
        <v>121</v>
      </c>
      <c r="E3" s="6" t="s">
        <v>118</v>
      </c>
      <c r="F3" s="1">
        <v>50.0</v>
      </c>
      <c r="G3" s="1" t="s">
        <v>122</v>
      </c>
      <c r="H3" s="3"/>
      <c r="I3" s="1" t="s">
        <v>122</v>
      </c>
      <c r="J3" s="6" t="s">
        <v>120</v>
      </c>
      <c r="K3" s="3"/>
    </row>
    <row r="4">
      <c r="A4" s="3"/>
      <c r="B4" s="1">
        <v>44.0</v>
      </c>
      <c r="C4" s="3"/>
      <c r="D4" s="6" t="s">
        <v>44</v>
      </c>
      <c r="E4" s="6" t="s">
        <v>123</v>
      </c>
      <c r="F4" s="1">
        <v>60.0</v>
      </c>
      <c r="G4" s="1" t="s">
        <v>124</v>
      </c>
      <c r="H4" s="1" t="s">
        <v>125</v>
      </c>
      <c r="I4" s="1" t="s">
        <v>126</v>
      </c>
      <c r="J4" s="6" t="s">
        <v>127</v>
      </c>
      <c r="K4" s="3"/>
    </row>
    <row r="5">
      <c r="A5" s="3"/>
      <c r="B5" s="37">
        <v>75.0</v>
      </c>
      <c r="C5" s="3"/>
      <c r="D5" s="6" t="s">
        <v>45</v>
      </c>
      <c r="E5" s="6" t="s">
        <v>128</v>
      </c>
      <c r="F5" s="1">
        <v>90.0</v>
      </c>
      <c r="G5" s="1" t="s">
        <v>129</v>
      </c>
      <c r="H5" s="1" t="s">
        <v>130</v>
      </c>
      <c r="I5" s="1" t="s">
        <v>131</v>
      </c>
      <c r="J5" s="6" t="s">
        <v>127</v>
      </c>
      <c r="K5" s="3"/>
    </row>
    <row r="6">
      <c r="A6" s="3"/>
      <c r="B6" s="1">
        <v>29.0</v>
      </c>
      <c r="C6" s="3"/>
      <c r="D6" s="6" t="s">
        <v>46</v>
      </c>
      <c r="E6" s="6" t="s">
        <v>132</v>
      </c>
      <c r="F6" s="1">
        <v>120.0</v>
      </c>
      <c r="G6" s="1" t="s">
        <v>133</v>
      </c>
      <c r="H6" s="1" t="s">
        <v>134</v>
      </c>
      <c r="I6" s="1" t="s">
        <v>135</v>
      </c>
      <c r="J6" s="6" t="s">
        <v>127</v>
      </c>
      <c r="K6" s="3"/>
    </row>
    <row r="7">
      <c r="A7" s="3"/>
      <c r="B7" s="1">
        <v>14.0</v>
      </c>
      <c r="C7" s="3"/>
      <c r="D7" s="6" t="s">
        <v>47</v>
      </c>
      <c r="E7" s="6" t="s">
        <v>136</v>
      </c>
      <c r="F7" s="1">
        <v>120.0</v>
      </c>
      <c r="G7" s="1" t="s">
        <v>133</v>
      </c>
      <c r="H7" s="1" t="s">
        <v>137</v>
      </c>
      <c r="I7" s="1" t="s">
        <v>138</v>
      </c>
      <c r="J7" s="6" t="s">
        <v>127</v>
      </c>
      <c r="K7" s="3"/>
    </row>
    <row r="8">
      <c r="A8" s="3"/>
      <c r="B8" s="1">
        <v>10.0</v>
      </c>
      <c r="C8" s="3"/>
      <c r="D8" s="6" t="s">
        <v>48</v>
      </c>
      <c r="E8" s="6" t="s">
        <v>139</v>
      </c>
      <c r="F8" s="1">
        <v>200.0</v>
      </c>
      <c r="G8" s="1" t="s">
        <v>140</v>
      </c>
      <c r="H8" s="1" t="s">
        <v>141</v>
      </c>
      <c r="I8" s="1" t="s">
        <v>142</v>
      </c>
      <c r="J8" s="6" t="s">
        <v>127</v>
      </c>
      <c r="K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s="24" t="s">
        <v>143</v>
      </c>
      <c r="E11" s="3"/>
      <c r="F11" s="3"/>
      <c r="G11" s="3"/>
      <c r="H11" s="3"/>
      <c r="I11" s="3"/>
      <c r="J11" s="3"/>
      <c r="K11" s="3"/>
    </row>
    <row r="12">
      <c r="A12" s="6" t="s">
        <v>144</v>
      </c>
      <c r="B12" s="3"/>
      <c r="C12" s="6" t="s">
        <v>145</v>
      </c>
      <c r="D12" s="6" t="s">
        <v>53</v>
      </c>
      <c r="E12" s="6" t="s">
        <v>39</v>
      </c>
      <c r="F12" s="38" t="s">
        <v>146</v>
      </c>
      <c r="G12" s="6" t="s">
        <v>147</v>
      </c>
      <c r="H12" s="3"/>
      <c r="I12" s="3"/>
      <c r="J12" s="3"/>
      <c r="K12" s="3"/>
    </row>
    <row r="13">
      <c r="A13" s="6" t="s">
        <v>148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1">
        <v>1.0</v>
      </c>
      <c r="D14" s="6" t="s">
        <v>149</v>
      </c>
      <c r="E14" s="1">
        <v>1.0</v>
      </c>
      <c r="F14" s="1">
        <v>500.0</v>
      </c>
      <c r="G14" s="1">
        <v>500.0</v>
      </c>
      <c r="H14" s="3"/>
      <c r="I14" s="3"/>
      <c r="J14" s="3"/>
      <c r="K14" s="3"/>
    </row>
    <row r="15">
      <c r="A15" s="3"/>
      <c r="B15" s="3"/>
      <c r="C15" s="1">
        <v>2.0</v>
      </c>
      <c r="D15" s="6" t="s">
        <v>150</v>
      </c>
      <c r="E15" s="1">
        <v>1.0</v>
      </c>
      <c r="F15" s="1">
        <v>50.0</v>
      </c>
      <c r="G15" s="1">
        <v>50.0</v>
      </c>
      <c r="H15" s="3"/>
      <c r="I15" s="3"/>
      <c r="J15" s="3"/>
      <c r="K15" s="3"/>
    </row>
    <row r="16">
      <c r="A16" s="3"/>
      <c r="B16" s="3"/>
      <c r="C16" s="1">
        <v>3.0</v>
      </c>
      <c r="D16" s="6" t="s">
        <v>151</v>
      </c>
      <c r="E16" s="1">
        <v>1.0</v>
      </c>
      <c r="F16" s="1">
        <v>10.0</v>
      </c>
      <c r="G16" s="1">
        <v>10.0</v>
      </c>
      <c r="H16" s="3"/>
      <c r="I16" s="3"/>
      <c r="J16" s="3"/>
      <c r="K16" s="3"/>
    </row>
    <row r="17">
      <c r="A17" s="3"/>
      <c r="B17" s="3"/>
      <c r="C17" s="1">
        <v>4.0</v>
      </c>
      <c r="D17" s="6" t="s">
        <v>152</v>
      </c>
      <c r="E17" s="1">
        <v>1.0</v>
      </c>
      <c r="F17" s="1">
        <v>30.0</v>
      </c>
      <c r="G17" s="1">
        <v>30.0</v>
      </c>
      <c r="H17" s="3"/>
      <c r="I17" s="3"/>
      <c r="J17" s="3"/>
      <c r="K17" s="3"/>
    </row>
    <row r="18">
      <c r="A18" s="3"/>
      <c r="B18" s="3"/>
      <c r="C18" s="1">
        <v>5.0</v>
      </c>
      <c r="D18" s="6" t="s">
        <v>153</v>
      </c>
      <c r="E18" s="1">
        <v>1.0</v>
      </c>
      <c r="F18" s="1">
        <v>150.0</v>
      </c>
      <c r="G18" s="1">
        <v>150.0</v>
      </c>
      <c r="H18" s="3"/>
      <c r="I18" s="3"/>
      <c r="J18" s="3"/>
      <c r="K18" s="3"/>
    </row>
    <row r="19">
      <c r="A19" s="3"/>
      <c r="B19" s="3"/>
      <c r="C19" s="1">
        <v>6.0</v>
      </c>
      <c r="D19" s="6" t="s">
        <v>154</v>
      </c>
      <c r="E19" s="1">
        <v>1.0</v>
      </c>
      <c r="F19" s="1">
        <v>120.0</v>
      </c>
      <c r="G19" s="1">
        <v>120.0</v>
      </c>
      <c r="H19" s="3"/>
      <c r="I19" s="3"/>
      <c r="J19" s="3"/>
      <c r="K19" s="3"/>
    </row>
    <row r="20">
      <c r="A20" s="3"/>
      <c r="B20" s="3"/>
      <c r="C20" s="3"/>
      <c r="D20" s="6" t="s">
        <v>155</v>
      </c>
      <c r="E20" s="3"/>
      <c r="F20" s="3"/>
      <c r="G20" s="1">
        <v>860.0</v>
      </c>
      <c r="H20" s="3"/>
      <c r="I20" s="3"/>
      <c r="J20" s="3"/>
      <c r="K20" s="3"/>
    </row>
    <row r="21">
      <c r="A21" s="6" t="s">
        <v>156</v>
      </c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1">
        <v>1.0</v>
      </c>
      <c r="D22" s="6" t="s">
        <v>157</v>
      </c>
      <c r="E22" s="1">
        <v>1.0</v>
      </c>
      <c r="F22" s="1">
        <v>1.2</v>
      </c>
      <c r="G22" s="1">
        <v>1.2</v>
      </c>
      <c r="H22" s="3"/>
      <c r="I22" s="3"/>
      <c r="J22" s="3"/>
      <c r="K22" s="3"/>
    </row>
    <row r="23">
      <c r="A23" s="3"/>
      <c r="B23" s="3"/>
      <c r="C23" s="1">
        <v>2.0</v>
      </c>
      <c r="D23" s="6" t="s">
        <v>158</v>
      </c>
      <c r="E23" s="1">
        <v>1.0</v>
      </c>
      <c r="F23" s="1">
        <v>200.0</v>
      </c>
      <c r="G23" s="1">
        <v>200.0</v>
      </c>
      <c r="H23" s="3"/>
      <c r="I23" s="3"/>
      <c r="J23" s="3"/>
      <c r="K23" s="3"/>
    </row>
    <row r="24">
      <c r="A24" s="3"/>
      <c r="B24" s="3"/>
      <c r="C24" s="1">
        <v>3.0</v>
      </c>
      <c r="D24" s="6" t="s">
        <v>159</v>
      </c>
      <c r="E24" s="1">
        <v>1.0</v>
      </c>
      <c r="F24" s="1">
        <v>400.0</v>
      </c>
      <c r="G24" s="1">
        <v>400.0</v>
      </c>
      <c r="H24" s="3"/>
      <c r="I24" s="3"/>
      <c r="J24" s="3"/>
      <c r="K24" s="3"/>
    </row>
    <row r="25">
      <c r="A25" s="3"/>
      <c r="B25" s="3"/>
      <c r="C25" s="1">
        <v>4.0</v>
      </c>
      <c r="D25" s="6" t="s">
        <v>160</v>
      </c>
      <c r="E25" s="1">
        <v>1.0</v>
      </c>
      <c r="F25" s="1">
        <v>300.0</v>
      </c>
      <c r="G25" s="1">
        <v>300.0</v>
      </c>
      <c r="H25" s="3"/>
      <c r="I25" s="3"/>
      <c r="J25" s="3"/>
      <c r="K25" s="3"/>
    </row>
    <row r="26">
      <c r="A26" s="3"/>
      <c r="B26" s="3"/>
      <c r="C26" s="1">
        <v>5.0</v>
      </c>
      <c r="D26" s="6" t="s">
        <v>161</v>
      </c>
      <c r="E26" s="1">
        <v>1.0</v>
      </c>
      <c r="F26" s="1">
        <v>180.0</v>
      </c>
      <c r="G26" s="1">
        <v>180.0</v>
      </c>
      <c r="H26" s="3"/>
      <c r="I26" s="3"/>
      <c r="J26" s="3"/>
      <c r="K26" s="3"/>
    </row>
    <row r="27">
      <c r="A27" s="3"/>
      <c r="B27" s="3"/>
      <c r="C27" s="1">
        <v>6.0</v>
      </c>
      <c r="D27" s="6" t="s">
        <v>162</v>
      </c>
      <c r="E27" s="6" t="s">
        <v>163</v>
      </c>
      <c r="F27" s="1">
        <v>350.0</v>
      </c>
      <c r="G27" s="1">
        <v>350.0</v>
      </c>
      <c r="H27" s="3"/>
      <c r="I27" s="3"/>
      <c r="J27" s="3"/>
      <c r="K27" s="3"/>
    </row>
    <row r="28">
      <c r="A28" s="3"/>
      <c r="B28" s="3"/>
      <c r="C28" s="1">
        <v>7.0</v>
      </c>
      <c r="D28" s="6" t="s">
        <v>164</v>
      </c>
      <c r="E28" s="1">
        <v>1.0</v>
      </c>
      <c r="F28" s="1">
        <v>80.0</v>
      </c>
      <c r="G28" s="1">
        <v>80.0</v>
      </c>
      <c r="H28" s="3"/>
      <c r="I28" s="3"/>
      <c r="J28" s="3"/>
      <c r="K28" s="3"/>
    </row>
    <row r="29">
      <c r="A29" s="3"/>
      <c r="B29" s="3"/>
      <c r="C29" s="1">
        <v>8.0</v>
      </c>
      <c r="D29" s="6" t="s">
        <v>165</v>
      </c>
      <c r="E29" s="1">
        <v>1.0</v>
      </c>
      <c r="F29" s="1">
        <v>400.0</v>
      </c>
      <c r="G29" s="1">
        <v>400.0</v>
      </c>
      <c r="H29" s="3"/>
      <c r="I29" s="3"/>
      <c r="J29" s="3"/>
      <c r="K29" s="3"/>
    </row>
    <row r="30">
      <c r="A30" s="3"/>
      <c r="B30" s="3"/>
      <c r="C30" s="1">
        <v>9.0</v>
      </c>
      <c r="D30" s="6" t="s">
        <v>166</v>
      </c>
      <c r="E30" s="1">
        <v>4.0</v>
      </c>
      <c r="F30" s="1">
        <v>150.0</v>
      </c>
      <c r="G30" s="1">
        <v>600.0</v>
      </c>
      <c r="H30" s="3"/>
      <c r="I30" s="3"/>
      <c r="J30" s="3"/>
      <c r="K30" s="3"/>
    </row>
    <row r="31">
      <c r="A31" s="3"/>
      <c r="B31" s="3"/>
      <c r="C31" s="1">
        <v>10.0</v>
      </c>
      <c r="D31" s="6" t="s">
        <v>167</v>
      </c>
      <c r="E31" s="1">
        <v>1.0</v>
      </c>
      <c r="F31" s="1">
        <v>900.0</v>
      </c>
      <c r="G31" s="1">
        <v>900.0</v>
      </c>
      <c r="H31" s="3"/>
      <c r="I31" s="3"/>
      <c r="J31" s="3"/>
      <c r="K31" s="3"/>
    </row>
    <row r="32">
      <c r="A32" s="3"/>
      <c r="B32" s="3"/>
      <c r="C32" s="1">
        <v>11.0</v>
      </c>
      <c r="D32" s="6" t="s">
        <v>168</v>
      </c>
      <c r="E32" s="6" t="s">
        <v>169</v>
      </c>
      <c r="F32" s="6" t="s">
        <v>170</v>
      </c>
      <c r="G32" s="1">
        <v>0.0</v>
      </c>
      <c r="H32" s="3"/>
      <c r="I32" s="3"/>
      <c r="J32" s="3"/>
      <c r="K32" s="3"/>
    </row>
    <row r="33">
      <c r="A33" s="3"/>
      <c r="B33" s="3"/>
      <c r="C33" s="1">
        <v>12.0</v>
      </c>
      <c r="D33" s="6" t="s">
        <v>171</v>
      </c>
      <c r="E33" s="1">
        <v>1.0</v>
      </c>
      <c r="F33" s="1">
        <v>80.0</v>
      </c>
      <c r="G33" s="1">
        <v>80.0</v>
      </c>
      <c r="H33" s="3"/>
      <c r="I33" s="3"/>
      <c r="J33" s="3"/>
      <c r="K33" s="3"/>
    </row>
    <row r="34">
      <c r="A34" s="3"/>
      <c r="B34" s="3"/>
      <c r="C34" s="1">
        <v>13.0</v>
      </c>
      <c r="D34" s="6" t="s">
        <v>172</v>
      </c>
      <c r="E34" s="1">
        <v>1.0</v>
      </c>
      <c r="F34" s="1">
        <v>50.0</v>
      </c>
      <c r="G34" s="1">
        <v>50.0</v>
      </c>
      <c r="H34" s="3"/>
      <c r="I34" s="3"/>
      <c r="J34" s="3"/>
      <c r="K34" s="3"/>
    </row>
    <row r="35">
      <c r="A35" s="3"/>
      <c r="B35" s="3"/>
      <c r="C35" s="3"/>
      <c r="D35" s="6" t="s">
        <v>173</v>
      </c>
      <c r="E35" s="3"/>
      <c r="F35" s="3"/>
      <c r="G35" s="1">
        <v>4.74</v>
      </c>
      <c r="H35" s="3"/>
      <c r="I35" s="3"/>
      <c r="J35" s="3"/>
      <c r="K35" s="3"/>
    </row>
    <row r="36">
      <c r="A36" s="6" t="s">
        <v>174</v>
      </c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1">
        <v>1.0</v>
      </c>
      <c r="D37" s="6" t="s">
        <v>175</v>
      </c>
      <c r="E37" s="1">
        <v>1.0</v>
      </c>
      <c r="F37" s="1">
        <v>600.0</v>
      </c>
      <c r="G37" s="1">
        <v>600.0</v>
      </c>
      <c r="H37" s="3"/>
      <c r="I37" s="3"/>
      <c r="J37" s="3"/>
      <c r="K37" s="3"/>
    </row>
    <row r="38">
      <c r="A38" s="3"/>
      <c r="B38" s="3"/>
      <c r="C38" s="1">
        <v>2.0</v>
      </c>
      <c r="D38" s="6" t="s">
        <v>176</v>
      </c>
      <c r="E38" s="1">
        <v>1.0</v>
      </c>
      <c r="F38" s="1">
        <v>1.5</v>
      </c>
      <c r="G38" s="1">
        <v>1.5</v>
      </c>
      <c r="H38" s="3"/>
      <c r="I38" s="3"/>
      <c r="J38" s="3"/>
      <c r="K38" s="3"/>
    </row>
    <row r="39">
      <c r="A39" s="3"/>
      <c r="B39" s="3"/>
      <c r="C39" s="1">
        <v>3.0</v>
      </c>
      <c r="D39" s="6" t="s">
        <v>177</v>
      </c>
      <c r="E39" s="1">
        <v>2.0</v>
      </c>
      <c r="F39" s="1">
        <v>150.0</v>
      </c>
      <c r="G39" s="1">
        <v>300.0</v>
      </c>
      <c r="H39" s="3"/>
      <c r="I39" s="3"/>
      <c r="J39" s="3"/>
      <c r="K39" s="3"/>
    </row>
    <row r="40">
      <c r="A40" s="3"/>
      <c r="B40" s="3"/>
      <c r="C40" s="1">
        <v>4.0</v>
      </c>
      <c r="D40" s="6" t="s">
        <v>178</v>
      </c>
      <c r="E40" s="1">
        <v>2.0</v>
      </c>
      <c r="F40" s="1">
        <v>120.0</v>
      </c>
      <c r="G40" s="1">
        <v>240.0</v>
      </c>
      <c r="H40" s="3"/>
      <c r="I40" s="3"/>
      <c r="J40" s="3"/>
      <c r="K40" s="3"/>
    </row>
    <row r="41">
      <c r="A41" s="3"/>
      <c r="B41" s="3"/>
      <c r="C41" s="1">
        <v>5.0</v>
      </c>
      <c r="D41" s="6" t="s">
        <v>179</v>
      </c>
      <c r="E41" s="1">
        <v>1.0</v>
      </c>
      <c r="F41" s="1">
        <v>200.0</v>
      </c>
      <c r="G41" s="1">
        <v>200.0</v>
      </c>
      <c r="H41" s="3"/>
      <c r="I41" s="3"/>
      <c r="J41" s="3"/>
      <c r="K41" s="3"/>
    </row>
    <row r="42">
      <c r="A42" s="3"/>
      <c r="B42" s="3"/>
      <c r="C42" s="1">
        <v>6.0</v>
      </c>
      <c r="D42" s="6" t="s">
        <v>180</v>
      </c>
      <c r="E42" s="1">
        <v>1.0</v>
      </c>
      <c r="F42" s="1">
        <v>180.0</v>
      </c>
      <c r="G42" s="1">
        <v>180.0</v>
      </c>
      <c r="H42" s="3"/>
      <c r="I42" s="3"/>
      <c r="J42" s="3"/>
      <c r="K42" s="3"/>
    </row>
    <row r="43">
      <c r="A43" s="3"/>
      <c r="B43" s="3"/>
      <c r="C43" s="1">
        <v>7.0</v>
      </c>
      <c r="D43" s="6" t="s">
        <v>181</v>
      </c>
      <c r="E43" s="1">
        <v>1.0</v>
      </c>
      <c r="F43" s="1">
        <v>350.0</v>
      </c>
      <c r="G43" s="1">
        <v>350.0</v>
      </c>
      <c r="H43" s="3"/>
      <c r="I43" s="3"/>
      <c r="J43" s="3"/>
      <c r="K43" s="3"/>
    </row>
    <row r="44">
      <c r="A44" s="3"/>
      <c r="B44" s="3"/>
      <c r="C44" s="1">
        <v>8.0</v>
      </c>
      <c r="D44" s="6" t="s">
        <v>162</v>
      </c>
      <c r="E44" s="6" t="s">
        <v>163</v>
      </c>
      <c r="F44" s="1">
        <v>350.0</v>
      </c>
      <c r="G44" s="1">
        <v>350.0</v>
      </c>
      <c r="H44" s="3"/>
      <c r="I44" s="3"/>
      <c r="J44" s="3"/>
      <c r="K44" s="3"/>
    </row>
    <row r="45">
      <c r="A45" s="3"/>
      <c r="B45" s="3"/>
      <c r="C45" s="1">
        <v>9.0</v>
      </c>
      <c r="D45" s="6" t="s">
        <v>164</v>
      </c>
      <c r="E45" s="1">
        <v>1.0</v>
      </c>
      <c r="F45" s="1">
        <v>80.0</v>
      </c>
      <c r="G45" s="1">
        <v>80.0</v>
      </c>
      <c r="H45" s="3"/>
      <c r="I45" s="3"/>
      <c r="J45" s="3"/>
      <c r="K45" s="3"/>
    </row>
    <row r="46">
      <c r="A46" s="3"/>
      <c r="B46" s="3"/>
      <c r="C46" s="1">
        <v>10.0</v>
      </c>
      <c r="D46" s="6" t="s">
        <v>182</v>
      </c>
      <c r="E46" s="1">
        <v>1.0</v>
      </c>
      <c r="F46" s="1">
        <v>600.0</v>
      </c>
      <c r="G46" s="1">
        <v>600.0</v>
      </c>
      <c r="H46" s="3"/>
      <c r="I46" s="3"/>
      <c r="J46" s="3"/>
      <c r="K46" s="3"/>
    </row>
    <row r="47">
      <c r="A47" s="3"/>
      <c r="B47" s="3"/>
      <c r="C47" s="1">
        <v>11.0</v>
      </c>
      <c r="D47" s="6" t="s">
        <v>183</v>
      </c>
      <c r="E47" s="1">
        <v>1.0</v>
      </c>
      <c r="F47" s="1">
        <v>150.0</v>
      </c>
      <c r="G47" s="1">
        <v>150.0</v>
      </c>
      <c r="H47" s="3"/>
      <c r="I47" s="3"/>
      <c r="J47" s="3"/>
      <c r="K47" s="3"/>
    </row>
    <row r="48">
      <c r="A48" s="3"/>
      <c r="B48" s="3"/>
      <c r="C48" s="1">
        <v>12.0</v>
      </c>
      <c r="D48" s="6" t="s">
        <v>184</v>
      </c>
      <c r="E48" s="6" t="s">
        <v>185</v>
      </c>
      <c r="F48" s="1">
        <v>250.0</v>
      </c>
      <c r="G48" s="1">
        <v>500.0</v>
      </c>
      <c r="H48" s="3"/>
      <c r="I48" s="3"/>
      <c r="J48" s="3"/>
      <c r="K48" s="3"/>
    </row>
    <row r="49">
      <c r="A49" s="3"/>
      <c r="B49" s="3"/>
      <c r="C49" s="1">
        <v>13.0</v>
      </c>
      <c r="D49" s="6" t="s">
        <v>186</v>
      </c>
      <c r="E49" s="1">
        <v>2.0</v>
      </c>
      <c r="F49" s="1">
        <v>120.0</v>
      </c>
      <c r="G49" s="1">
        <v>240.0</v>
      </c>
      <c r="H49" s="3"/>
      <c r="I49" s="3"/>
      <c r="J49" s="3"/>
      <c r="K49" s="3"/>
    </row>
    <row r="50">
      <c r="A50" s="3"/>
      <c r="B50" s="3"/>
      <c r="C50" s="1">
        <v>14.0</v>
      </c>
      <c r="D50" s="6" t="s">
        <v>187</v>
      </c>
      <c r="E50" s="1">
        <v>4.0</v>
      </c>
      <c r="F50" s="1">
        <v>15.0</v>
      </c>
      <c r="G50" s="1">
        <v>60.0</v>
      </c>
      <c r="H50" s="3"/>
      <c r="I50" s="3"/>
      <c r="J50" s="3"/>
      <c r="K50" s="3"/>
    </row>
    <row r="51">
      <c r="A51" s="3"/>
      <c r="B51" s="3"/>
      <c r="C51" s="1">
        <v>15.0</v>
      </c>
      <c r="D51" s="6" t="s">
        <v>188</v>
      </c>
      <c r="E51" s="1">
        <v>2.0</v>
      </c>
      <c r="F51" s="1">
        <v>40.0</v>
      </c>
      <c r="G51" s="1">
        <v>80.0</v>
      </c>
      <c r="H51" s="3"/>
      <c r="I51" s="3"/>
      <c r="J51" s="3"/>
      <c r="K51" s="3"/>
    </row>
    <row r="52">
      <c r="A52" s="3"/>
      <c r="B52" s="3"/>
      <c r="C52" s="3"/>
      <c r="D52" s="6" t="s">
        <v>189</v>
      </c>
      <c r="E52" s="3"/>
      <c r="F52" s="3"/>
      <c r="G52" s="1">
        <v>5.43</v>
      </c>
      <c r="H52" s="3"/>
      <c r="I52" s="3"/>
      <c r="J52" s="3"/>
      <c r="K52" s="3"/>
    </row>
    <row r="53">
      <c r="A53" s="6" t="s">
        <v>190</v>
      </c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1">
        <v>1.0</v>
      </c>
      <c r="D54" s="6" t="s">
        <v>191</v>
      </c>
      <c r="E54" s="6" t="s">
        <v>163</v>
      </c>
      <c r="F54" s="1">
        <v>1.8</v>
      </c>
      <c r="G54" s="1">
        <v>1.8</v>
      </c>
      <c r="H54" s="3"/>
      <c r="I54" s="3"/>
      <c r="J54" s="3"/>
      <c r="K54" s="3"/>
    </row>
    <row r="55">
      <c r="A55" s="3"/>
      <c r="B55" s="3"/>
      <c r="C55" s="1">
        <v>2.0</v>
      </c>
      <c r="D55" s="6" t="s">
        <v>192</v>
      </c>
      <c r="E55" s="1">
        <v>1.0</v>
      </c>
      <c r="F55" s="1">
        <v>300.0</v>
      </c>
      <c r="G55" s="1">
        <v>300.0</v>
      </c>
      <c r="H55" s="3"/>
      <c r="I55" s="3"/>
      <c r="J55" s="3"/>
      <c r="K55" s="3"/>
    </row>
    <row r="56">
      <c r="A56" s="3"/>
      <c r="B56" s="3"/>
      <c r="C56" s="1">
        <v>3.0</v>
      </c>
      <c r="D56" s="6" t="s">
        <v>193</v>
      </c>
      <c r="E56" s="1">
        <v>1.0</v>
      </c>
      <c r="F56" s="1">
        <v>250.0</v>
      </c>
      <c r="G56" s="1">
        <v>250.0</v>
      </c>
      <c r="H56" s="3"/>
      <c r="I56" s="3"/>
      <c r="J56" s="3"/>
      <c r="K56" s="3"/>
    </row>
    <row r="57">
      <c r="A57" s="3"/>
      <c r="B57" s="3"/>
      <c r="C57" s="1">
        <v>4.0</v>
      </c>
      <c r="D57" s="6" t="s">
        <v>194</v>
      </c>
      <c r="E57" s="1">
        <v>1.0</v>
      </c>
      <c r="F57" s="1">
        <v>200.0</v>
      </c>
      <c r="G57" s="1">
        <v>200.0</v>
      </c>
      <c r="H57" s="3"/>
      <c r="I57" s="3"/>
      <c r="J57" s="3"/>
      <c r="K57" s="3"/>
    </row>
    <row r="58">
      <c r="A58" s="3"/>
      <c r="B58" s="3"/>
      <c r="C58" s="1">
        <v>5.0</v>
      </c>
      <c r="D58" s="6" t="s">
        <v>195</v>
      </c>
      <c r="E58" s="1">
        <v>1.0</v>
      </c>
      <c r="F58" s="1">
        <v>500.0</v>
      </c>
      <c r="G58" s="1">
        <v>500.0</v>
      </c>
      <c r="H58" s="3"/>
      <c r="I58" s="3"/>
      <c r="J58" s="3"/>
      <c r="K58" s="3"/>
    </row>
    <row r="59">
      <c r="A59" s="3"/>
      <c r="B59" s="3"/>
      <c r="C59" s="1">
        <v>6.0</v>
      </c>
      <c r="D59" s="6" t="s">
        <v>196</v>
      </c>
      <c r="E59" s="6" t="s">
        <v>163</v>
      </c>
      <c r="F59" s="1">
        <v>1.0</v>
      </c>
      <c r="G59" s="1">
        <v>1.0</v>
      </c>
      <c r="H59" s="3"/>
      <c r="I59" s="3"/>
      <c r="J59" s="3"/>
      <c r="K59" s="3"/>
    </row>
    <row r="60">
      <c r="A60" s="3"/>
      <c r="B60" s="3"/>
      <c r="C60" s="3"/>
      <c r="D60" s="6" t="s">
        <v>197</v>
      </c>
      <c r="E60" s="3"/>
      <c r="F60" s="3"/>
      <c r="G60" s="1">
        <v>4.05</v>
      </c>
      <c r="H60" s="3"/>
      <c r="I60" s="3"/>
      <c r="J60" s="3"/>
      <c r="K60" s="3"/>
    </row>
    <row r="61">
      <c r="A61" s="6" t="s">
        <v>198</v>
      </c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1">
        <v>1.0</v>
      </c>
      <c r="D62" s="6" t="s">
        <v>199</v>
      </c>
      <c r="E62" s="6" t="s">
        <v>163</v>
      </c>
      <c r="F62" s="1">
        <v>1.5</v>
      </c>
      <c r="G62" s="1">
        <v>1.5</v>
      </c>
      <c r="H62" s="3"/>
      <c r="I62" s="3"/>
      <c r="J62" s="3"/>
      <c r="K62" s="3"/>
    </row>
    <row r="63">
      <c r="A63" s="3"/>
      <c r="B63" s="3"/>
      <c r="C63" s="1">
        <v>2.0</v>
      </c>
      <c r="D63" s="6" t="s">
        <v>200</v>
      </c>
      <c r="E63" s="6" t="s">
        <v>163</v>
      </c>
      <c r="F63" s="1">
        <v>400.0</v>
      </c>
      <c r="G63" s="1">
        <v>400.0</v>
      </c>
      <c r="H63" s="3"/>
      <c r="I63" s="3"/>
      <c r="J63" s="3"/>
      <c r="K63" s="3"/>
    </row>
    <row r="64">
      <c r="A64" s="3"/>
      <c r="B64" s="3"/>
      <c r="C64" s="1">
        <v>3.0</v>
      </c>
      <c r="D64" s="6" t="s">
        <v>201</v>
      </c>
      <c r="E64" s="6" t="s">
        <v>185</v>
      </c>
      <c r="F64" s="1">
        <v>350.0</v>
      </c>
      <c r="G64" s="1">
        <v>700.0</v>
      </c>
      <c r="H64" s="3"/>
      <c r="I64" s="3"/>
      <c r="J64" s="3"/>
      <c r="K64" s="3"/>
    </row>
    <row r="65">
      <c r="A65" s="3"/>
      <c r="B65" s="3"/>
      <c r="C65" s="1">
        <v>4.0</v>
      </c>
      <c r="D65" s="6" t="s">
        <v>202</v>
      </c>
      <c r="E65" s="1">
        <v>1.0</v>
      </c>
      <c r="F65" s="1">
        <v>40.0</v>
      </c>
      <c r="G65" s="1">
        <v>40.0</v>
      </c>
      <c r="H65" s="3"/>
      <c r="I65" s="3"/>
      <c r="J65" s="3"/>
      <c r="K65" s="3"/>
    </row>
    <row r="66">
      <c r="A66" s="3"/>
      <c r="B66" s="3"/>
      <c r="C66" s="1">
        <v>5.0</v>
      </c>
      <c r="D66" s="6" t="s">
        <v>203</v>
      </c>
      <c r="E66" s="1">
        <v>1.0</v>
      </c>
      <c r="F66" s="1">
        <v>80.0</v>
      </c>
      <c r="G66" s="1">
        <v>80.0</v>
      </c>
      <c r="H66" s="3"/>
      <c r="I66" s="3"/>
      <c r="J66" s="3"/>
      <c r="K66" s="3"/>
    </row>
    <row r="67">
      <c r="A67" s="3"/>
      <c r="B67" s="3"/>
      <c r="C67" s="1">
        <v>6.0</v>
      </c>
      <c r="D67" s="6" t="s">
        <v>204</v>
      </c>
      <c r="E67" s="3"/>
      <c r="F67" s="3"/>
      <c r="G67" s="1">
        <v>2.72</v>
      </c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6" t="s">
        <v>205</v>
      </c>
      <c r="E69" s="3"/>
      <c r="F69" s="3"/>
      <c r="G69" s="6" t="s">
        <v>206</v>
      </c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6" t="s">
        <v>207</v>
      </c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6" t="s">
        <v>208</v>
      </c>
      <c r="J73" s="3"/>
      <c r="K73" s="3"/>
    </row>
    <row r="74">
      <c r="A74" s="6" t="s">
        <v>209</v>
      </c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</sheetData>
  <mergeCells count="8">
    <mergeCell ref="A11:D11"/>
    <mergeCell ref="A21:B21"/>
    <mergeCell ref="A36:B36"/>
    <mergeCell ref="A53:B53"/>
    <mergeCell ref="A61:B61"/>
    <mergeCell ref="A71:B71"/>
    <mergeCell ref="A73:I73"/>
    <mergeCell ref="A74:E7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210</v>
      </c>
      <c r="I1" s="40"/>
      <c r="J1" s="41" t="s">
        <v>211</v>
      </c>
      <c r="P1" s="3"/>
      <c r="Q1" s="3"/>
      <c r="R1" s="3"/>
      <c r="S1" s="3"/>
    </row>
    <row r="2">
      <c r="A2" s="6" t="s">
        <v>212</v>
      </c>
      <c r="B2" s="6" t="s">
        <v>117</v>
      </c>
      <c r="C2" s="3"/>
      <c r="D2" s="3"/>
      <c r="E2" s="3"/>
      <c r="F2" s="3"/>
      <c r="G2" s="3"/>
      <c r="H2" s="3"/>
      <c r="I2" s="40"/>
      <c r="J2" s="6" t="s">
        <v>212</v>
      </c>
      <c r="K2" s="6" t="s">
        <v>117</v>
      </c>
      <c r="L2" s="3"/>
      <c r="M2" s="3"/>
      <c r="N2" s="3"/>
      <c r="O2" s="3"/>
      <c r="P2" s="3"/>
      <c r="Q2" s="3"/>
      <c r="R2" s="3"/>
      <c r="S2" s="3"/>
    </row>
    <row r="3">
      <c r="A3" s="6" t="s">
        <v>213</v>
      </c>
      <c r="B3" s="1">
        <v>35.0</v>
      </c>
      <c r="C3" s="3"/>
      <c r="D3" s="3"/>
      <c r="E3" s="3"/>
      <c r="F3" s="3"/>
      <c r="G3" s="3"/>
      <c r="H3" s="3"/>
      <c r="I3" s="40"/>
      <c r="J3" s="6" t="s">
        <v>213</v>
      </c>
      <c r="K3" s="1">
        <v>35.0</v>
      </c>
      <c r="L3" s="3"/>
      <c r="M3" s="3"/>
      <c r="N3" s="3"/>
      <c r="O3" s="3"/>
      <c r="P3" s="3"/>
      <c r="Q3" s="3"/>
      <c r="R3" s="3"/>
      <c r="S3" s="3"/>
    </row>
    <row r="4">
      <c r="A4" s="6" t="s">
        <v>79</v>
      </c>
      <c r="B4" s="1">
        <v>64750.0</v>
      </c>
      <c r="C4" s="3"/>
      <c r="D4" s="3"/>
      <c r="E4" s="3"/>
      <c r="F4" s="3"/>
      <c r="G4" s="3"/>
      <c r="H4" s="3"/>
      <c r="I4" s="40"/>
      <c r="J4" s="6" t="s">
        <v>79</v>
      </c>
      <c r="K4" s="1">
        <v>64750.0</v>
      </c>
      <c r="L4" s="3"/>
      <c r="M4" s="3"/>
      <c r="N4" s="3"/>
      <c r="O4" s="3"/>
      <c r="P4" s="3"/>
      <c r="Q4" s="3"/>
      <c r="R4" s="3"/>
      <c r="S4" s="3"/>
    </row>
    <row r="5">
      <c r="A5" s="6" t="s">
        <v>214</v>
      </c>
      <c r="B5" s="1">
        <v>80.0</v>
      </c>
      <c r="C5" s="3"/>
      <c r="D5" s="3"/>
      <c r="E5" s="3"/>
      <c r="F5" s="3"/>
      <c r="G5" s="3"/>
      <c r="H5" s="3"/>
      <c r="I5" s="40"/>
      <c r="J5" s="6" t="s">
        <v>214</v>
      </c>
      <c r="K5" s="1">
        <v>80.0</v>
      </c>
      <c r="L5" s="3"/>
      <c r="M5" s="3"/>
      <c r="N5" s="3"/>
      <c r="O5" s="3"/>
      <c r="P5" s="3"/>
      <c r="Q5" s="3"/>
      <c r="R5" s="3"/>
      <c r="S5" s="3"/>
    </row>
    <row r="6">
      <c r="A6" s="6" t="s">
        <v>215</v>
      </c>
      <c r="B6" s="1">
        <v>1850.0</v>
      </c>
      <c r="C6" s="3"/>
      <c r="D6" s="3"/>
      <c r="E6" s="3"/>
      <c r="F6" s="3"/>
      <c r="G6" s="3"/>
      <c r="H6" s="3"/>
      <c r="I6" s="40"/>
      <c r="J6" s="6" t="s">
        <v>215</v>
      </c>
      <c r="K6" s="1">
        <v>1850.0</v>
      </c>
      <c r="L6" s="3"/>
      <c r="M6" s="3"/>
      <c r="N6" s="3"/>
      <c r="O6" s="3"/>
      <c r="P6" s="3"/>
      <c r="Q6" s="3"/>
      <c r="R6" s="3"/>
      <c r="S6" s="3"/>
    </row>
    <row r="7">
      <c r="A7" s="6" t="s">
        <v>216</v>
      </c>
      <c r="B7" s="1">
        <v>75.0</v>
      </c>
      <c r="C7" s="3"/>
      <c r="D7" s="3"/>
      <c r="E7" s="3"/>
      <c r="F7" s="3"/>
      <c r="G7" s="3"/>
      <c r="H7" s="3"/>
      <c r="I7" s="40"/>
      <c r="J7" s="6" t="s">
        <v>216</v>
      </c>
      <c r="K7" s="1">
        <v>75.0</v>
      </c>
      <c r="L7" s="3"/>
      <c r="M7" s="3"/>
      <c r="N7" s="3"/>
      <c r="O7" s="3"/>
      <c r="P7" s="3"/>
      <c r="Q7" s="3"/>
      <c r="R7" s="3"/>
      <c r="S7" s="3"/>
    </row>
    <row r="8">
      <c r="A8" s="6" t="s">
        <v>77</v>
      </c>
      <c r="B8" s="6" t="s">
        <v>78</v>
      </c>
      <c r="C8" s="6" t="s">
        <v>79</v>
      </c>
      <c r="D8" s="6" t="s">
        <v>80</v>
      </c>
      <c r="E8" s="6" t="s">
        <v>81</v>
      </c>
      <c r="F8" s="6" t="s">
        <v>82</v>
      </c>
      <c r="G8" s="6" t="s">
        <v>83</v>
      </c>
      <c r="H8" s="6" t="s">
        <v>217</v>
      </c>
      <c r="I8" s="40"/>
      <c r="J8" s="6" t="s">
        <v>77</v>
      </c>
      <c r="K8" s="6" t="s">
        <v>78</v>
      </c>
      <c r="L8" s="6" t="s">
        <v>79</v>
      </c>
      <c r="M8" s="6" t="s">
        <v>80</v>
      </c>
      <c r="N8" s="6" t="s">
        <v>81</v>
      </c>
      <c r="O8" s="6" t="s">
        <v>82</v>
      </c>
      <c r="P8" s="6" t="s">
        <v>83</v>
      </c>
      <c r="Q8" s="6" t="s">
        <v>217</v>
      </c>
      <c r="S8" s="3"/>
    </row>
    <row r="9">
      <c r="A9" s="1">
        <v>1.0</v>
      </c>
      <c r="B9" s="25">
        <v>0.45</v>
      </c>
      <c r="C9" s="1">
        <v>80.0</v>
      </c>
      <c r="D9" s="1">
        <v>13140.0</v>
      </c>
      <c r="E9" s="1">
        <v>-5256.0</v>
      </c>
      <c r="F9" s="1">
        <v>7884.0</v>
      </c>
      <c r="G9" s="25">
        <v>0.12</v>
      </c>
      <c r="H9" s="3"/>
      <c r="I9" s="40"/>
      <c r="J9" s="1">
        <v>1.0</v>
      </c>
      <c r="K9" s="25">
        <v>0.45</v>
      </c>
      <c r="L9" s="1">
        <v>80.0</v>
      </c>
      <c r="M9" s="1">
        <v>13140.0</v>
      </c>
      <c r="N9" s="1">
        <v>-5256.0</v>
      </c>
      <c r="O9" s="1">
        <v>7884.0</v>
      </c>
      <c r="P9" s="25">
        <v>0.12</v>
      </c>
      <c r="Q9" s="3"/>
      <c r="R9" s="3"/>
      <c r="S9" s="3"/>
    </row>
    <row r="10">
      <c r="A10" s="1">
        <v>2.0</v>
      </c>
      <c r="B10" s="25">
        <v>0.46</v>
      </c>
      <c r="C10" s="1">
        <v>80.0</v>
      </c>
      <c r="D10" s="1">
        <v>13534.0</v>
      </c>
      <c r="E10" s="1">
        <v>-5414.0</v>
      </c>
      <c r="F10" s="1">
        <v>8121.0</v>
      </c>
      <c r="G10" s="25">
        <v>0.13</v>
      </c>
      <c r="H10" s="3"/>
      <c r="I10" s="40"/>
      <c r="J10" s="1">
        <v>2.0</v>
      </c>
      <c r="K10" s="25">
        <v>0.5</v>
      </c>
      <c r="L10" s="1">
        <v>88.0</v>
      </c>
      <c r="M10" s="1">
        <v>15899.0</v>
      </c>
      <c r="N10" s="1">
        <v>-6360.0</v>
      </c>
      <c r="O10" s="1">
        <v>9540.0</v>
      </c>
      <c r="P10" s="25">
        <v>0.15</v>
      </c>
      <c r="Q10" s="3"/>
      <c r="R10" s="3"/>
      <c r="S10" s="3"/>
    </row>
    <row r="11">
      <c r="A11" s="1">
        <v>3.0</v>
      </c>
      <c r="B11" s="25">
        <v>0.48</v>
      </c>
      <c r="C11" s="1">
        <v>80.0</v>
      </c>
      <c r="D11" s="1">
        <v>13940.0</v>
      </c>
      <c r="E11" s="1">
        <v>-5576.0</v>
      </c>
      <c r="F11" s="1">
        <v>8364.0</v>
      </c>
      <c r="G11" s="25">
        <v>0.13</v>
      </c>
      <c r="H11" s="3"/>
      <c r="I11" s="40"/>
      <c r="J11" s="1">
        <v>3.0</v>
      </c>
      <c r="K11" s="25">
        <v>0.54</v>
      </c>
      <c r="L11" s="1">
        <v>97.0</v>
      </c>
      <c r="M11" s="1">
        <v>19238.0</v>
      </c>
      <c r="N11" s="1">
        <v>-7695.0</v>
      </c>
      <c r="O11" s="1">
        <v>11543.0</v>
      </c>
      <c r="P11" s="25">
        <v>0.18</v>
      </c>
      <c r="Q11" s="3"/>
      <c r="R11" s="3"/>
      <c r="S11" s="3"/>
    </row>
    <row r="12">
      <c r="A12" s="1">
        <v>4.0</v>
      </c>
      <c r="B12" s="25">
        <v>0.49</v>
      </c>
      <c r="C12" s="1">
        <v>80.0</v>
      </c>
      <c r="D12" s="1">
        <v>14358.0</v>
      </c>
      <c r="E12" s="1">
        <v>-5743.0</v>
      </c>
      <c r="F12" s="1">
        <v>8615.0</v>
      </c>
      <c r="G12" s="25">
        <v>0.13</v>
      </c>
      <c r="H12" s="3"/>
      <c r="I12" s="40"/>
      <c r="J12" s="1">
        <v>4.0</v>
      </c>
      <c r="K12" s="25">
        <v>0.6</v>
      </c>
      <c r="L12" s="1">
        <v>106.0</v>
      </c>
      <c r="M12" s="1">
        <v>23278.0</v>
      </c>
      <c r="N12" s="1">
        <v>-9311.0</v>
      </c>
      <c r="O12" s="1">
        <v>13967.0</v>
      </c>
      <c r="P12" s="25">
        <v>0.22</v>
      </c>
      <c r="Q12" s="3"/>
      <c r="R12" s="3"/>
      <c r="S12" s="3"/>
    </row>
    <row r="13">
      <c r="A13" s="1">
        <v>5.0</v>
      </c>
      <c r="B13" s="25">
        <v>0.51</v>
      </c>
      <c r="C13" s="1">
        <v>80.0</v>
      </c>
      <c r="D13" s="1">
        <v>14789.0</v>
      </c>
      <c r="E13" s="1">
        <v>-5916.0</v>
      </c>
      <c r="F13" s="1">
        <v>8874.0</v>
      </c>
      <c r="G13" s="25">
        <v>0.14</v>
      </c>
      <c r="H13" s="42">
        <v>7.0</v>
      </c>
      <c r="I13" s="40"/>
      <c r="J13" s="1">
        <v>5.0</v>
      </c>
      <c r="K13" s="25">
        <v>0.66</v>
      </c>
      <c r="L13" s="1">
        <v>117.0</v>
      </c>
      <c r="M13" s="1">
        <v>28167.0</v>
      </c>
      <c r="N13" s="1">
        <v>-11267.0</v>
      </c>
      <c r="O13" s="1">
        <v>16900.0</v>
      </c>
      <c r="P13" s="25">
        <v>0.26</v>
      </c>
      <c r="Q13" s="42">
        <v>4.0</v>
      </c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40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40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6" t="s">
        <v>212</v>
      </c>
      <c r="B16" s="6" t="s">
        <v>218</v>
      </c>
      <c r="C16" s="3"/>
      <c r="D16" s="3"/>
      <c r="E16" s="3"/>
      <c r="F16" s="3"/>
      <c r="G16" s="3"/>
      <c r="H16" s="3"/>
      <c r="I16" s="40"/>
      <c r="J16" s="6" t="s">
        <v>212</v>
      </c>
      <c r="K16" s="6" t="s">
        <v>218</v>
      </c>
      <c r="L16" s="3"/>
      <c r="M16" s="3"/>
      <c r="N16" s="3"/>
      <c r="O16" s="3"/>
      <c r="P16" s="3"/>
      <c r="Q16" s="3"/>
      <c r="R16" s="3"/>
      <c r="S16" s="3"/>
    </row>
    <row r="17">
      <c r="A17" s="6" t="s">
        <v>213</v>
      </c>
      <c r="B17" s="1">
        <v>50.0</v>
      </c>
      <c r="C17" s="3"/>
      <c r="D17" s="3"/>
      <c r="E17" s="3"/>
      <c r="F17" s="3"/>
      <c r="G17" s="3"/>
      <c r="H17" s="3"/>
      <c r="I17" s="40"/>
      <c r="J17" s="6" t="s">
        <v>213</v>
      </c>
      <c r="K17" s="1">
        <v>50.0</v>
      </c>
      <c r="L17" s="3"/>
      <c r="M17" s="3"/>
      <c r="N17" s="3"/>
      <c r="O17" s="3"/>
      <c r="P17" s="3"/>
      <c r="Q17" s="3"/>
      <c r="R17" s="3"/>
      <c r="S17" s="3"/>
    </row>
    <row r="18">
      <c r="A18" s="6" t="s">
        <v>79</v>
      </c>
      <c r="B18" s="1">
        <v>92500.0</v>
      </c>
      <c r="C18" s="3"/>
      <c r="D18" s="3"/>
      <c r="E18" s="3"/>
      <c r="F18" s="3"/>
      <c r="G18" s="3"/>
      <c r="H18" s="3"/>
      <c r="I18" s="40"/>
      <c r="J18" s="6" t="s">
        <v>79</v>
      </c>
      <c r="K18" s="1">
        <v>92500.0</v>
      </c>
      <c r="L18" s="3"/>
      <c r="M18" s="3"/>
      <c r="N18" s="3"/>
      <c r="O18" s="3"/>
      <c r="P18" s="3"/>
      <c r="Q18" s="3"/>
      <c r="R18" s="3"/>
      <c r="S18" s="3"/>
    </row>
    <row r="19">
      <c r="A19" s="6" t="s">
        <v>214</v>
      </c>
      <c r="B19" s="1">
        <v>100.0</v>
      </c>
      <c r="C19" s="3"/>
      <c r="D19" s="3"/>
      <c r="E19" s="3"/>
      <c r="F19" s="3"/>
      <c r="G19" s="3"/>
      <c r="H19" s="3"/>
      <c r="I19" s="40"/>
      <c r="J19" s="6" t="s">
        <v>214</v>
      </c>
      <c r="K19" s="1">
        <v>100.0</v>
      </c>
      <c r="L19" s="3"/>
      <c r="M19" s="3"/>
      <c r="N19" s="3"/>
      <c r="O19" s="3"/>
      <c r="P19" s="3"/>
      <c r="Q19" s="3"/>
      <c r="R19" s="3"/>
      <c r="S19" s="3"/>
    </row>
    <row r="20">
      <c r="A20" s="6" t="s">
        <v>215</v>
      </c>
      <c r="B20" s="1">
        <v>1850.0</v>
      </c>
      <c r="C20" s="3"/>
      <c r="D20" s="3"/>
      <c r="E20" s="3"/>
      <c r="F20" s="3"/>
      <c r="G20" s="3"/>
      <c r="H20" s="3"/>
      <c r="I20" s="40"/>
      <c r="J20" s="6" t="s">
        <v>215</v>
      </c>
      <c r="K20" s="1">
        <v>1850.0</v>
      </c>
      <c r="L20" s="3"/>
      <c r="M20" s="3"/>
      <c r="N20" s="3"/>
      <c r="O20" s="3"/>
      <c r="P20" s="3"/>
      <c r="Q20" s="3"/>
      <c r="R20" s="3"/>
      <c r="S20" s="3"/>
    </row>
    <row r="21">
      <c r="A21" s="6" t="s">
        <v>39</v>
      </c>
      <c r="B21" s="1">
        <v>25.0</v>
      </c>
      <c r="C21" s="3"/>
      <c r="D21" s="3"/>
      <c r="E21" s="3"/>
      <c r="F21" s="3"/>
      <c r="G21" s="3"/>
      <c r="H21" s="3"/>
      <c r="I21" s="40"/>
      <c r="J21" s="6" t="s">
        <v>39</v>
      </c>
      <c r="K21" s="1">
        <v>25.0</v>
      </c>
      <c r="L21" s="3"/>
      <c r="M21" s="3"/>
      <c r="N21" s="3"/>
      <c r="O21" s="3"/>
      <c r="P21" s="3"/>
      <c r="Q21" s="3"/>
      <c r="R21" s="3"/>
      <c r="S21" s="3"/>
    </row>
    <row r="22">
      <c r="A22" s="6" t="s">
        <v>77</v>
      </c>
      <c r="B22" s="6" t="s">
        <v>78</v>
      </c>
      <c r="C22" s="6" t="s">
        <v>79</v>
      </c>
      <c r="D22" s="6" t="s">
        <v>80</v>
      </c>
      <c r="E22" s="6" t="s">
        <v>81</v>
      </c>
      <c r="F22" s="6" t="s">
        <v>82</v>
      </c>
      <c r="G22" s="6" t="s">
        <v>83</v>
      </c>
      <c r="H22" s="6" t="s">
        <v>217</v>
      </c>
      <c r="I22" s="40"/>
      <c r="J22" s="6" t="s">
        <v>77</v>
      </c>
      <c r="K22" s="6" t="s">
        <v>78</v>
      </c>
      <c r="L22" s="6" t="s">
        <v>79</v>
      </c>
      <c r="M22" s="6" t="s">
        <v>80</v>
      </c>
      <c r="N22" s="6" t="s">
        <v>81</v>
      </c>
      <c r="O22" s="6" t="s">
        <v>82</v>
      </c>
      <c r="P22" s="6" t="s">
        <v>83</v>
      </c>
      <c r="Q22" s="6" t="s">
        <v>217</v>
      </c>
      <c r="S22" s="3"/>
    </row>
    <row r="23">
      <c r="A23" s="1">
        <v>1.0</v>
      </c>
      <c r="B23" s="25">
        <v>0.45</v>
      </c>
      <c r="C23" s="1">
        <v>100.0</v>
      </c>
      <c r="D23" s="1">
        <v>16425.0</v>
      </c>
      <c r="E23" s="1">
        <v>-6570.0</v>
      </c>
      <c r="F23" s="1">
        <v>9855.0</v>
      </c>
      <c r="G23" s="25">
        <v>0.11</v>
      </c>
      <c r="H23" s="3"/>
      <c r="I23" s="40"/>
      <c r="J23" s="1">
        <v>1.0</v>
      </c>
      <c r="K23" s="25">
        <v>0.45</v>
      </c>
      <c r="L23" s="1">
        <v>100.0</v>
      </c>
      <c r="M23" s="1">
        <v>16425.0</v>
      </c>
      <c r="N23" s="1">
        <v>-6570.0</v>
      </c>
      <c r="O23" s="1">
        <v>9855.0</v>
      </c>
      <c r="P23" s="25">
        <v>0.11</v>
      </c>
      <c r="Q23" s="3"/>
      <c r="R23" s="3"/>
      <c r="S23" s="3"/>
    </row>
    <row r="24">
      <c r="A24" s="1">
        <v>2.0</v>
      </c>
      <c r="B24" s="25">
        <v>0.46</v>
      </c>
      <c r="C24" s="1">
        <v>100.0</v>
      </c>
      <c r="D24" s="1">
        <v>16918.0</v>
      </c>
      <c r="E24" s="1">
        <v>-6767.0</v>
      </c>
      <c r="F24" s="1">
        <v>10151.0</v>
      </c>
      <c r="G24" s="25">
        <v>0.11</v>
      </c>
      <c r="H24" s="3"/>
      <c r="I24" s="40"/>
      <c r="J24" s="1">
        <v>2.0</v>
      </c>
      <c r="K24" s="25">
        <v>0.5</v>
      </c>
      <c r="L24" s="1">
        <v>110.0</v>
      </c>
      <c r="M24" s="1">
        <v>19874.0</v>
      </c>
      <c r="N24" s="1">
        <v>-7950.0</v>
      </c>
      <c r="O24" s="1">
        <v>11925.0</v>
      </c>
      <c r="P24" s="25">
        <v>0.13</v>
      </c>
      <c r="Q24" s="3"/>
      <c r="R24" s="3"/>
      <c r="S24" s="3"/>
    </row>
    <row r="25">
      <c r="A25" s="1">
        <v>3.0</v>
      </c>
      <c r="B25" s="25">
        <v>0.48</v>
      </c>
      <c r="C25" s="1">
        <v>100.0</v>
      </c>
      <c r="D25" s="1">
        <v>17425.0</v>
      </c>
      <c r="E25" s="1">
        <v>-6970.0</v>
      </c>
      <c r="F25" s="1">
        <v>10455.0</v>
      </c>
      <c r="G25" s="25">
        <v>0.11</v>
      </c>
      <c r="H25" s="3"/>
      <c r="I25" s="40"/>
      <c r="J25" s="1">
        <v>3.0</v>
      </c>
      <c r="K25" s="25">
        <v>0.54</v>
      </c>
      <c r="L25" s="1">
        <v>121.0</v>
      </c>
      <c r="M25" s="1">
        <v>24048.0</v>
      </c>
      <c r="N25" s="1">
        <v>-9619.0</v>
      </c>
      <c r="O25" s="1">
        <v>14429.0</v>
      </c>
      <c r="P25" s="25">
        <v>0.16</v>
      </c>
      <c r="Q25" s="3"/>
      <c r="R25" s="3"/>
      <c r="S25" s="3"/>
    </row>
    <row r="26">
      <c r="A26" s="1">
        <v>4.0</v>
      </c>
      <c r="B26" s="25">
        <v>0.49</v>
      </c>
      <c r="C26" s="1">
        <v>100.0</v>
      </c>
      <c r="D26" s="1">
        <v>17948.0</v>
      </c>
      <c r="E26" s="1">
        <v>-7179.0</v>
      </c>
      <c r="F26" s="1">
        <v>10769.0</v>
      </c>
      <c r="G26" s="25">
        <v>0.12</v>
      </c>
      <c r="H26" s="3"/>
      <c r="I26" s="40"/>
      <c r="J26" s="1">
        <v>4.0</v>
      </c>
      <c r="K26" s="25">
        <v>0.6</v>
      </c>
      <c r="L26" s="1">
        <v>133.0</v>
      </c>
      <c r="M26" s="1">
        <v>29098.0</v>
      </c>
      <c r="N26" s="1">
        <v>-11639.0</v>
      </c>
      <c r="O26" s="1">
        <v>17459.0</v>
      </c>
      <c r="P26" s="25">
        <v>0.19</v>
      </c>
      <c r="Q26" s="3"/>
      <c r="R26" s="3"/>
      <c r="S26" s="3"/>
    </row>
    <row r="27">
      <c r="A27" s="1">
        <v>5.0</v>
      </c>
      <c r="B27" s="25">
        <v>0.51</v>
      </c>
      <c r="C27" s="1">
        <v>100.0</v>
      </c>
      <c r="D27" s="1">
        <v>18486.0</v>
      </c>
      <c r="E27" s="1">
        <v>-7395.0</v>
      </c>
      <c r="F27" s="1">
        <v>11092.0</v>
      </c>
      <c r="G27" s="25">
        <v>0.12</v>
      </c>
      <c r="H27" s="42">
        <v>8.0</v>
      </c>
      <c r="I27" s="40"/>
      <c r="J27" s="1">
        <v>5.0</v>
      </c>
      <c r="K27" s="25">
        <v>0.66</v>
      </c>
      <c r="L27" s="1">
        <v>146.0</v>
      </c>
      <c r="M27" s="1">
        <v>35208.0</v>
      </c>
      <c r="N27" s="1">
        <v>-14083.0</v>
      </c>
      <c r="O27" s="1">
        <v>21125.0</v>
      </c>
      <c r="P27" s="25">
        <v>0.23</v>
      </c>
      <c r="Q27" s="42">
        <v>4.0</v>
      </c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40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40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40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6" t="s">
        <v>44</v>
      </c>
      <c r="B31" s="6" t="s">
        <v>219</v>
      </c>
      <c r="C31" s="3"/>
      <c r="D31" s="3"/>
      <c r="E31" s="3"/>
      <c r="F31" s="3"/>
      <c r="G31" s="3"/>
      <c r="H31" s="3"/>
      <c r="I31" s="40"/>
      <c r="J31" s="6" t="s">
        <v>44</v>
      </c>
      <c r="K31" s="6" t="s">
        <v>219</v>
      </c>
      <c r="L31" s="3"/>
      <c r="M31" s="3"/>
      <c r="N31" s="3"/>
      <c r="O31" s="3"/>
      <c r="P31" s="3"/>
      <c r="Q31" s="3"/>
      <c r="R31" s="3"/>
      <c r="S31" s="3"/>
    </row>
    <row r="32">
      <c r="A32" s="6" t="s">
        <v>220</v>
      </c>
      <c r="B32" s="1">
        <v>24500.0</v>
      </c>
      <c r="C32" s="3"/>
      <c r="D32" s="3"/>
      <c r="E32" s="3"/>
      <c r="F32" s="3"/>
      <c r="G32" s="3"/>
      <c r="H32" s="3"/>
      <c r="I32" s="40"/>
      <c r="J32" s="6" t="s">
        <v>220</v>
      </c>
      <c r="K32" s="1">
        <v>24500.0</v>
      </c>
      <c r="L32" s="3"/>
      <c r="M32" s="3"/>
      <c r="N32" s="3"/>
      <c r="O32" s="3"/>
      <c r="P32" s="3"/>
      <c r="Q32" s="3"/>
      <c r="R32" s="3"/>
      <c r="S32" s="3"/>
    </row>
    <row r="33">
      <c r="A33" s="6" t="s">
        <v>213</v>
      </c>
      <c r="B33" s="1">
        <v>60.0</v>
      </c>
      <c r="C33" s="3"/>
      <c r="D33" s="3"/>
      <c r="E33" s="3"/>
      <c r="F33" s="3"/>
      <c r="G33" s="3"/>
      <c r="H33" s="3"/>
      <c r="I33" s="40"/>
      <c r="J33" s="6" t="s">
        <v>213</v>
      </c>
      <c r="K33" s="1">
        <v>60.0</v>
      </c>
      <c r="L33" s="3"/>
      <c r="M33" s="3"/>
      <c r="N33" s="3"/>
      <c r="O33" s="3"/>
      <c r="P33" s="3"/>
      <c r="Q33" s="3"/>
      <c r="R33" s="3"/>
      <c r="S33" s="3"/>
    </row>
    <row r="34">
      <c r="A34" s="6" t="s">
        <v>79</v>
      </c>
      <c r="B34" s="1">
        <v>129500.0</v>
      </c>
      <c r="C34" s="3"/>
      <c r="D34" s="3"/>
      <c r="E34" s="3"/>
      <c r="F34" s="3"/>
      <c r="G34" s="3"/>
      <c r="H34" s="3"/>
      <c r="I34" s="40"/>
      <c r="J34" s="6" t="s">
        <v>79</v>
      </c>
      <c r="K34" s="1">
        <v>129500.0</v>
      </c>
      <c r="L34" s="3"/>
      <c r="M34" s="3"/>
      <c r="N34" s="3"/>
      <c r="O34" s="3"/>
      <c r="P34" s="3"/>
      <c r="Q34" s="3"/>
      <c r="R34" s="3"/>
      <c r="S34" s="3"/>
    </row>
    <row r="35">
      <c r="A35" s="6" t="s">
        <v>214</v>
      </c>
      <c r="B35" s="1">
        <v>150.0</v>
      </c>
      <c r="C35" s="3"/>
      <c r="D35" s="3"/>
      <c r="E35" s="3"/>
      <c r="F35" s="3"/>
      <c r="G35" s="3"/>
      <c r="H35" s="3"/>
      <c r="I35" s="40"/>
      <c r="J35" s="6" t="s">
        <v>214</v>
      </c>
      <c r="K35" s="1">
        <v>150.0</v>
      </c>
      <c r="L35" s="3"/>
      <c r="M35" s="3"/>
      <c r="N35" s="3"/>
      <c r="O35" s="3"/>
      <c r="P35" s="3"/>
      <c r="Q35" s="3"/>
      <c r="R35" s="3"/>
      <c r="S35" s="3"/>
    </row>
    <row r="36">
      <c r="A36" s="6" t="s">
        <v>215</v>
      </c>
      <c r="B36" s="1">
        <v>1750.0</v>
      </c>
      <c r="C36" s="3"/>
      <c r="D36" s="3"/>
      <c r="E36" s="3"/>
      <c r="F36" s="3"/>
      <c r="G36" s="3"/>
      <c r="H36" s="3"/>
      <c r="I36" s="40"/>
      <c r="J36" s="6" t="s">
        <v>215</v>
      </c>
      <c r="K36" s="1">
        <v>1750.0</v>
      </c>
      <c r="L36" s="3"/>
      <c r="M36" s="3"/>
      <c r="N36" s="3"/>
      <c r="O36" s="3"/>
      <c r="P36" s="3"/>
      <c r="Q36" s="3"/>
      <c r="R36" s="3"/>
      <c r="S36" s="3"/>
    </row>
    <row r="37">
      <c r="A37" s="6" t="s">
        <v>39</v>
      </c>
      <c r="B37" s="1">
        <v>44.0</v>
      </c>
      <c r="C37" s="3"/>
      <c r="D37" s="3"/>
      <c r="E37" s="3"/>
      <c r="F37" s="3"/>
      <c r="G37" s="3"/>
      <c r="H37" s="3"/>
      <c r="I37" s="40"/>
      <c r="J37" s="6" t="s">
        <v>39</v>
      </c>
      <c r="K37" s="1">
        <v>44.0</v>
      </c>
      <c r="L37" s="3"/>
      <c r="M37" s="3"/>
      <c r="N37" s="3"/>
      <c r="O37" s="3"/>
      <c r="P37" s="3"/>
      <c r="Q37" s="3"/>
      <c r="R37" s="3"/>
      <c r="S37" s="3"/>
    </row>
    <row r="38">
      <c r="A38" s="6" t="s">
        <v>77</v>
      </c>
      <c r="B38" s="6" t="s">
        <v>78</v>
      </c>
      <c r="C38" s="6" t="s">
        <v>79</v>
      </c>
      <c r="D38" s="6" t="s">
        <v>80</v>
      </c>
      <c r="E38" s="6" t="s">
        <v>81</v>
      </c>
      <c r="F38" s="6" t="s">
        <v>82</v>
      </c>
      <c r="G38" s="6" t="s">
        <v>83</v>
      </c>
      <c r="H38" s="6" t="s">
        <v>217</v>
      </c>
      <c r="I38" s="40"/>
      <c r="J38" s="6" t="s">
        <v>77</v>
      </c>
      <c r="K38" s="6" t="s">
        <v>78</v>
      </c>
      <c r="L38" s="6" t="s">
        <v>79</v>
      </c>
      <c r="M38" s="6" t="s">
        <v>80</v>
      </c>
      <c r="N38" s="6" t="s">
        <v>81</v>
      </c>
      <c r="O38" s="6" t="s">
        <v>82</v>
      </c>
      <c r="P38" s="6" t="s">
        <v>83</v>
      </c>
      <c r="Q38" s="6" t="s">
        <v>217</v>
      </c>
      <c r="S38" s="3"/>
    </row>
    <row r="39">
      <c r="A39" s="1">
        <v>1.0</v>
      </c>
      <c r="B39" s="25">
        <v>0.45</v>
      </c>
      <c r="C39" s="1">
        <v>150.0</v>
      </c>
      <c r="D39" s="1">
        <v>24638.0</v>
      </c>
      <c r="E39" s="1">
        <v>-9855.0</v>
      </c>
      <c r="F39" s="1">
        <v>14783.0</v>
      </c>
      <c r="G39" s="25">
        <v>0.11</v>
      </c>
      <c r="H39" s="3"/>
      <c r="I39" s="40"/>
      <c r="J39" s="1">
        <v>1.0</v>
      </c>
      <c r="K39" s="25">
        <v>0.45</v>
      </c>
      <c r="L39" s="1">
        <v>150.0</v>
      </c>
      <c r="M39" s="1">
        <v>24638.0</v>
      </c>
      <c r="N39" s="1">
        <v>-9855.0</v>
      </c>
      <c r="O39" s="1">
        <v>14783.0</v>
      </c>
      <c r="P39" s="25">
        <v>0.11</v>
      </c>
      <c r="Q39" s="3"/>
      <c r="R39" s="3"/>
      <c r="S39" s="3"/>
    </row>
    <row r="40">
      <c r="A40" s="1">
        <v>2.0</v>
      </c>
      <c r="B40" s="25">
        <v>0.46</v>
      </c>
      <c r="C40" s="1">
        <v>150.0</v>
      </c>
      <c r="D40" s="1">
        <v>25377.0</v>
      </c>
      <c r="E40" s="1">
        <v>-10151.0</v>
      </c>
      <c r="F40" s="1">
        <v>15226.0</v>
      </c>
      <c r="G40" s="25">
        <v>0.12</v>
      </c>
      <c r="H40" s="3"/>
      <c r="I40" s="40"/>
      <c r="J40" s="1">
        <v>2.0</v>
      </c>
      <c r="K40" s="25">
        <v>0.5</v>
      </c>
      <c r="L40" s="1">
        <v>165.0</v>
      </c>
      <c r="M40" s="1">
        <v>29811.0</v>
      </c>
      <c r="N40" s="1">
        <v>-11925.0</v>
      </c>
      <c r="O40" s="1">
        <v>17887.0</v>
      </c>
      <c r="P40" s="25">
        <v>0.14</v>
      </c>
      <c r="Q40" s="3"/>
      <c r="R40" s="3"/>
      <c r="S40" s="3"/>
    </row>
    <row r="41">
      <c r="A41" s="1">
        <v>3.0</v>
      </c>
      <c r="B41" s="25">
        <v>0.48</v>
      </c>
      <c r="C41" s="1">
        <v>150.0</v>
      </c>
      <c r="D41" s="1">
        <v>26138.0</v>
      </c>
      <c r="E41" s="1">
        <v>-10455.0</v>
      </c>
      <c r="F41" s="1">
        <v>15683.0</v>
      </c>
      <c r="G41" s="25">
        <v>0.12</v>
      </c>
      <c r="H41" s="3"/>
      <c r="I41" s="40"/>
      <c r="J41" s="1">
        <v>3.0</v>
      </c>
      <c r="K41" s="25">
        <v>0.54</v>
      </c>
      <c r="L41" s="1">
        <v>182.0</v>
      </c>
      <c r="M41" s="1">
        <v>36072.0</v>
      </c>
      <c r="N41" s="1">
        <v>-14429.0</v>
      </c>
      <c r="O41" s="1">
        <v>21643.0</v>
      </c>
      <c r="P41" s="25">
        <v>0.17</v>
      </c>
      <c r="Q41" s="3"/>
      <c r="R41" s="3"/>
      <c r="S41" s="3"/>
    </row>
    <row r="42">
      <c r="A42" s="1">
        <v>4.0</v>
      </c>
      <c r="B42" s="25">
        <v>0.49</v>
      </c>
      <c r="C42" s="1">
        <v>150.0</v>
      </c>
      <c r="D42" s="1">
        <v>26922.0</v>
      </c>
      <c r="E42" s="1">
        <v>-10769.0</v>
      </c>
      <c r="F42" s="1">
        <v>16153.0</v>
      </c>
      <c r="G42" s="25">
        <v>0.12</v>
      </c>
      <c r="H42" s="3"/>
      <c r="I42" s="40"/>
      <c r="J42" s="1">
        <v>4.0</v>
      </c>
      <c r="K42" s="25">
        <v>0.6</v>
      </c>
      <c r="L42" s="1">
        <v>200.0</v>
      </c>
      <c r="M42" s="1">
        <v>43647.0</v>
      </c>
      <c r="N42" s="1">
        <v>-17459.0</v>
      </c>
      <c r="O42" s="1">
        <v>26188.0</v>
      </c>
      <c r="P42" s="25">
        <v>0.2</v>
      </c>
      <c r="Q42" s="3"/>
      <c r="R42" s="3"/>
      <c r="S42" s="3"/>
    </row>
    <row r="43">
      <c r="A43" s="1">
        <v>5.0</v>
      </c>
      <c r="B43" s="25">
        <v>0.51</v>
      </c>
      <c r="C43" s="1">
        <v>150.0</v>
      </c>
      <c r="D43" s="1">
        <v>27730.0</v>
      </c>
      <c r="E43" s="1">
        <v>-11092.0</v>
      </c>
      <c r="F43" s="1">
        <v>16638.0</v>
      </c>
      <c r="G43" s="25">
        <v>0.13</v>
      </c>
      <c r="H43" s="43">
        <v>46241.0</v>
      </c>
      <c r="I43" s="40"/>
      <c r="J43" s="1">
        <v>5.0</v>
      </c>
      <c r="K43" s="25">
        <v>0.66</v>
      </c>
      <c r="L43" s="1">
        <v>220.0</v>
      </c>
      <c r="M43" s="1">
        <v>52813.0</v>
      </c>
      <c r="N43" s="1">
        <v>-21125.0</v>
      </c>
      <c r="O43" s="1">
        <v>31688.0</v>
      </c>
      <c r="P43" s="25">
        <v>0.24</v>
      </c>
      <c r="Q43" s="43">
        <v>46026.0</v>
      </c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40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40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6" t="s">
        <v>45</v>
      </c>
      <c r="B46" s="6" t="s">
        <v>221</v>
      </c>
      <c r="C46" s="3"/>
      <c r="D46" s="3"/>
      <c r="E46" s="3"/>
      <c r="F46" s="3"/>
      <c r="G46" s="3"/>
      <c r="H46" s="3"/>
      <c r="I46" s="40"/>
      <c r="J46" s="6" t="s">
        <v>45</v>
      </c>
      <c r="K46" s="6" t="s">
        <v>221</v>
      </c>
      <c r="L46" s="3"/>
      <c r="M46" s="3"/>
      <c r="N46" s="3"/>
      <c r="O46" s="3"/>
      <c r="P46" s="3"/>
      <c r="Q46" s="3"/>
      <c r="R46" s="3"/>
      <c r="S46" s="3"/>
    </row>
    <row r="47">
      <c r="A47" s="44" t="s">
        <v>222</v>
      </c>
      <c r="B47" s="37">
        <v>31500.0</v>
      </c>
      <c r="C47" s="45"/>
      <c r="D47" s="45"/>
      <c r="E47" s="45"/>
      <c r="F47" s="45"/>
      <c r="G47" s="45"/>
      <c r="H47" s="45"/>
      <c r="I47" s="40"/>
      <c r="J47" s="44" t="s">
        <v>222</v>
      </c>
      <c r="K47" s="37">
        <v>31500.0</v>
      </c>
      <c r="L47" s="45"/>
      <c r="M47" s="45"/>
      <c r="N47" s="45"/>
      <c r="O47" s="45"/>
      <c r="P47" s="45"/>
      <c r="Q47" s="45"/>
      <c r="R47" s="3"/>
      <c r="S47" s="3"/>
    </row>
    <row r="48">
      <c r="A48" s="44" t="s">
        <v>213</v>
      </c>
      <c r="B48" s="37">
        <v>90.0</v>
      </c>
      <c r="C48" s="45"/>
      <c r="D48" s="45"/>
      <c r="E48" s="45"/>
      <c r="F48" s="45"/>
      <c r="G48" s="45"/>
      <c r="H48" s="45"/>
      <c r="I48" s="40"/>
      <c r="J48" s="44" t="s">
        <v>213</v>
      </c>
      <c r="K48" s="37">
        <v>90.0</v>
      </c>
      <c r="L48" s="45"/>
      <c r="M48" s="45"/>
      <c r="N48" s="45"/>
      <c r="O48" s="45"/>
      <c r="P48" s="45"/>
      <c r="Q48" s="45"/>
      <c r="R48" s="3"/>
      <c r="S48" s="3"/>
    </row>
    <row r="49">
      <c r="A49" s="44" t="s">
        <v>79</v>
      </c>
      <c r="B49" s="37">
        <v>189000.0</v>
      </c>
      <c r="C49" s="45"/>
      <c r="D49" s="45"/>
      <c r="E49" s="45"/>
      <c r="F49" s="45"/>
      <c r="G49" s="45"/>
      <c r="H49" s="45"/>
      <c r="I49" s="40"/>
      <c r="J49" s="44" t="s">
        <v>79</v>
      </c>
      <c r="K49" s="37">
        <v>189000.0</v>
      </c>
      <c r="L49" s="45"/>
      <c r="M49" s="45"/>
      <c r="N49" s="45"/>
      <c r="O49" s="45"/>
      <c r="P49" s="45"/>
      <c r="Q49" s="45"/>
      <c r="R49" s="3"/>
      <c r="S49" s="3"/>
    </row>
    <row r="50">
      <c r="A50" s="44" t="s">
        <v>214</v>
      </c>
      <c r="B50" s="37">
        <v>200.0</v>
      </c>
      <c r="C50" s="45"/>
      <c r="D50" s="45"/>
      <c r="E50" s="45"/>
      <c r="F50" s="45"/>
      <c r="G50" s="45"/>
      <c r="H50" s="45"/>
      <c r="I50" s="40"/>
      <c r="J50" s="44" t="s">
        <v>214</v>
      </c>
      <c r="K50" s="37">
        <v>200.0</v>
      </c>
      <c r="L50" s="45"/>
      <c r="M50" s="45"/>
      <c r="N50" s="45"/>
      <c r="O50" s="45"/>
      <c r="P50" s="45"/>
      <c r="Q50" s="45"/>
      <c r="R50" s="3"/>
      <c r="S50" s="3"/>
    </row>
    <row r="51">
      <c r="A51" s="44" t="s">
        <v>215</v>
      </c>
      <c r="B51" s="37">
        <v>1750.0</v>
      </c>
      <c r="C51" s="45"/>
      <c r="D51" s="45"/>
      <c r="E51" s="45"/>
      <c r="F51" s="45"/>
      <c r="G51" s="45"/>
      <c r="H51" s="45"/>
      <c r="I51" s="40"/>
      <c r="J51" s="44" t="s">
        <v>215</v>
      </c>
      <c r="K51" s="37">
        <v>1750.0</v>
      </c>
      <c r="L51" s="45"/>
      <c r="M51" s="45"/>
      <c r="N51" s="45"/>
      <c r="O51" s="45"/>
      <c r="P51" s="45"/>
      <c r="Q51" s="45"/>
      <c r="R51" s="3"/>
      <c r="S51" s="3"/>
    </row>
    <row r="52">
      <c r="A52" s="44" t="s">
        <v>39</v>
      </c>
      <c r="B52" s="37">
        <v>75.0</v>
      </c>
      <c r="C52" s="45"/>
      <c r="D52" s="45"/>
      <c r="E52" s="45"/>
      <c r="F52" s="45"/>
      <c r="G52" s="45"/>
      <c r="H52" s="45"/>
      <c r="I52" s="40"/>
      <c r="J52" s="44" t="s">
        <v>39</v>
      </c>
      <c r="K52" s="37">
        <v>75.0</v>
      </c>
      <c r="L52" s="45"/>
      <c r="M52" s="45"/>
      <c r="N52" s="45"/>
      <c r="O52" s="45"/>
      <c r="P52" s="45"/>
      <c r="Q52" s="45"/>
      <c r="R52" s="3"/>
      <c r="S52" s="3"/>
    </row>
    <row r="53">
      <c r="A53" s="44" t="s">
        <v>77</v>
      </c>
      <c r="B53" s="44" t="s">
        <v>78</v>
      </c>
      <c r="C53" s="44" t="s">
        <v>79</v>
      </c>
      <c r="D53" s="44" t="s">
        <v>80</v>
      </c>
      <c r="E53" s="44" t="s">
        <v>81</v>
      </c>
      <c r="F53" s="44" t="s">
        <v>82</v>
      </c>
      <c r="G53" s="44" t="s">
        <v>83</v>
      </c>
      <c r="H53" s="44" t="s">
        <v>217</v>
      </c>
      <c r="I53" s="40"/>
      <c r="J53" s="44" t="s">
        <v>77</v>
      </c>
      <c r="K53" s="44" t="s">
        <v>78</v>
      </c>
      <c r="L53" s="44" t="s">
        <v>79</v>
      </c>
      <c r="M53" s="44" t="s">
        <v>80</v>
      </c>
      <c r="N53" s="44" t="s">
        <v>81</v>
      </c>
      <c r="O53" s="44" t="s">
        <v>82</v>
      </c>
      <c r="P53" s="44" t="s">
        <v>83</v>
      </c>
      <c r="Q53" s="44" t="s">
        <v>217</v>
      </c>
      <c r="R53" s="3"/>
      <c r="S53" s="3"/>
    </row>
    <row r="54">
      <c r="A54" s="37">
        <v>1.0</v>
      </c>
      <c r="B54" s="46">
        <v>0.45</v>
      </c>
      <c r="C54" s="1">
        <v>200.0</v>
      </c>
      <c r="D54" s="37">
        <v>32850.0</v>
      </c>
      <c r="E54" s="37">
        <v>-13140.0</v>
      </c>
      <c r="F54" s="37">
        <v>19710.0</v>
      </c>
      <c r="G54" s="46">
        <v>0.1</v>
      </c>
      <c r="H54" s="45"/>
      <c r="I54" s="40"/>
      <c r="J54" s="37">
        <v>1.0</v>
      </c>
      <c r="K54" s="46">
        <v>0.45</v>
      </c>
      <c r="L54" s="1">
        <v>200.0</v>
      </c>
      <c r="M54" s="37">
        <v>32850.0</v>
      </c>
      <c r="N54" s="37">
        <v>-13140.0</v>
      </c>
      <c r="O54" s="37">
        <v>19710.0</v>
      </c>
      <c r="P54" s="46">
        <v>0.1</v>
      </c>
      <c r="Q54" s="45"/>
      <c r="R54" s="3"/>
      <c r="S54" s="3"/>
    </row>
    <row r="55">
      <c r="A55" s="37">
        <v>2.0</v>
      </c>
      <c r="B55" s="46">
        <v>0.46</v>
      </c>
      <c r="C55" s="1">
        <v>200.0</v>
      </c>
      <c r="D55" s="37">
        <v>33836.0</v>
      </c>
      <c r="E55" s="37">
        <v>-13534.0</v>
      </c>
      <c r="F55" s="37">
        <v>20301.0</v>
      </c>
      <c r="G55" s="46">
        <v>0.11</v>
      </c>
      <c r="H55" s="45"/>
      <c r="I55" s="40"/>
      <c r="J55" s="37">
        <v>2.0</v>
      </c>
      <c r="K55" s="46">
        <v>0.5</v>
      </c>
      <c r="L55" s="1">
        <v>220.0</v>
      </c>
      <c r="M55" s="37">
        <v>39749.0</v>
      </c>
      <c r="N55" s="37">
        <v>-15899.0</v>
      </c>
      <c r="O55" s="37">
        <v>23849.0</v>
      </c>
      <c r="P55" s="46">
        <v>0.13</v>
      </c>
      <c r="Q55" s="45"/>
      <c r="R55" s="3"/>
      <c r="S55" s="3"/>
    </row>
    <row r="56">
      <c r="A56" s="37">
        <v>3.0</v>
      </c>
      <c r="B56" s="46">
        <v>0.48</v>
      </c>
      <c r="C56" s="1">
        <v>200.0</v>
      </c>
      <c r="D56" s="37">
        <v>34851.0</v>
      </c>
      <c r="E56" s="37">
        <v>-13940.0</v>
      </c>
      <c r="F56" s="37">
        <v>20910.0</v>
      </c>
      <c r="G56" s="46">
        <v>0.11</v>
      </c>
      <c r="H56" s="45"/>
      <c r="I56" s="40"/>
      <c r="J56" s="37">
        <v>3.0</v>
      </c>
      <c r="K56" s="46">
        <v>0.54</v>
      </c>
      <c r="L56" s="1">
        <v>242.0</v>
      </c>
      <c r="M56" s="37">
        <v>48096.0</v>
      </c>
      <c r="N56" s="37">
        <v>-19238.0</v>
      </c>
      <c r="O56" s="37">
        <v>28857.0</v>
      </c>
      <c r="P56" s="46">
        <v>0.15</v>
      </c>
      <c r="Q56" s="45"/>
      <c r="R56" s="3"/>
      <c r="S56" s="3"/>
    </row>
    <row r="57">
      <c r="A57" s="37">
        <v>4.0</v>
      </c>
      <c r="B57" s="46">
        <v>0.49</v>
      </c>
      <c r="C57" s="1">
        <v>200.0</v>
      </c>
      <c r="D57" s="37">
        <v>35896.0</v>
      </c>
      <c r="E57" s="37">
        <v>-14358.0</v>
      </c>
      <c r="F57" s="37">
        <v>21538.0</v>
      </c>
      <c r="G57" s="46">
        <v>0.11</v>
      </c>
      <c r="H57" s="45"/>
      <c r="I57" s="40"/>
      <c r="J57" s="37">
        <v>4.0</v>
      </c>
      <c r="K57" s="46">
        <v>0.6</v>
      </c>
      <c r="L57" s="1">
        <v>266.0</v>
      </c>
      <c r="M57" s="37">
        <v>58196.0</v>
      </c>
      <c r="N57" s="37">
        <v>-23278.0</v>
      </c>
      <c r="O57" s="37">
        <v>34917.0</v>
      </c>
      <c r="P57" s="46">
        <v>0.18</v>
      </c>
      <c r="Q57" s="45"/>
      <c r="R57" s="3"/>
      <c r="S57" s="3"/>
    </row>
    <row r="58">
      <c r="A58" s="37">
        <v>5.0</v>
      </c>
      <c r="B58" s="46">
        <v>0.51</v>
      </c>
      <c r="C58" s="1">
        <v>200.0</v>
      </c>
      <c r="D58" s="37">
        <v>36973.0</v>
      </c>
      <c r="E58" s="37">
        <v>-14789.0</v>
      </c>
      <c r="F58" s="37">
        <v>22184.0</v>
      </c>
      <c r="G58" s="46">
        <v>0.12</v>
      </c>
      <c r="H58" s="47">
        <v>46150.0</v>
      </c>
      <c r="I58" s="40"/>
      <c r="J58" s="37">
        <v>5.0</v>
      </c>
      <c r="K58" s="46">
        <v>0.66</v>
      </c>
      <c r="L58" s="1">
        <v>293.0</v>
      </c>
      <c r="M58" s="37">
        <v>70417.0</v>
      </c>
      <c r="N58" s="37">
        <v>-28167.0</v>
      </c>
      <c r="O58" s="37">
        <v>42250.0</v>
      </c>
      <c r="P58" s="46">
        <v>0.22</v>
      </c>
      <c r="Q58" s="47">
        <v>46146.0</v>
      </c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40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40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6" t="s">
        <v>46</v>
      </c>
      <c r="B61" s="6" t="s">
        <v>223</v>
      </c>
      <c r="C61" s="3"/>
      <c r="D61" s="3"/>
      <c r="E61" s="3"/>
      <c r="F61" s="3"/>
      <c r="G61" s="3"/>
      <c r="H61" s="3"/>
      <c r="I61" s="40"/>
      <c r="J61" s="6" t="s">
        <v>46</v>
      </c>
      <c r="K61" s="6" t="s">
        <v>223</v>
      </c>
      <c r="L61" s="3"/>
      <c r="M61" s="3"/>
      <c r="N61" s="3"/>
      <c r="O61" s="3"/>
      <c r="P61" s="3"/>
      <c r="Q61" s="3"/>
      <c r="R61" s="3"/>
      <c r="S61" s="3"/>
    </row>
    <row r="62">
      <c r="A62" s="6" t="s">
        <v>224</v>
      </c>
      <c r="B62" s="1">
        <v>38500.0</v>
      </c>
      <c r="C62" s="3"/>
      <c r="D62" s="3"/>
      <c r="E62" s="3"/>
      <c r="F62" s="3"/>
      <c r="G62" s="3"/>
      <c r="H62" s="3"/>
      <c r="I62" s="40"/>
      <c r="J62" s="6" t="s">
        <v>224</v>
      </c>
      <c r="K62" s="1">
        <v>38500.0</v>
      </c>
      <c r="L62" s="3"/>
      <c r="M62" s="3"/>
      <c r="N62" s="3"/>
      <c r="O62" s="3"/>
      <c r="P62" s="3"/>
      <c r="Q62" s="3"/>
      <c r="R62" s="3"/>
      <c r="S62" s="3"/>
    </row>
    <row r="63">
      <c r="A63" s="6" t="s">
        <v>213</v>
      </c>
      <c r="B63" s="1">
        <v>120.0</v>
      </c>
      <c r="C63" s="3"/>
      <c r="D63" s="3"/>
      <c r="E63" s="3"/>
      <c r="F63" s="3"/>
      <c r="G63" s="3"/>
      <c r="H63" s="3"/>
      <c r="I63" s="40"/>
      <c r="J63" s="6" t="s">
        <v>213</v>
      </c>
      <c r="K63" s="1">
        <v>120.0</v>
      </c>
      <c r="L63" s="3"/>
      <c r="M63" s="3"/>
      <c r="N63" s="3"/>
      <c r="O63" s="3"/>
      <c r="P63" s="3"/>
      <c r="Q63" s="3"/>
      <c r="R63" s="3"/>
      <c r="S63" s="3"/>
    </row>
    <row r="64">
      <c r="A64" s="6" t="s">
        <v>79</v>
      </c>
      <c r="B64" s="1">
        <v>248500.0</v>
      </c>
      <c r="C64" s="3"/>
      <c r="D64" s="3"/>
      <c r="E64" s="3"/>
      <c r="F64" s="3"/>
      <c r="G64" s="3"/>
      <c r="H64" s="3"/>
      <c r="I64" s="40"/>
      <c r="J64" s="6" t="s">
        <v>79</v>
      </c>
      <c r="K64" s="1">
        <v>248500.0</v>
      </c>
      <c r="L64" s="3"/>
      <c r="M64" s="3"/>
      <c r="N64" s="3"/>
      <c r="O64" s="3"/>
      <c r="P64" s="3"/>
      <c r="Q64" s="3"/>
      <c r="R64" s="3"/>
      <c r="S64" s="3"/>
    </row>
    <row r="65">
      <c r="A65" s="6" t="s">
        <v>214</v>
      </c>
      <c r="B65" s="1">
        <v>250.0</v>
      </c>
      <c r="C65" s="3"/>
      <c r="D65" s="3"/>
      <c r="E65" s="3"/>
      <c r="F65" s="3"/>
      <c r="G65" s="3"/>
      <c r="H65" s="3"/>
      <c r="I65" s="40"/>
      <c r="J65" s="6" t="s">
        <v>214</v>
      </c>
      <c r="K65" s="1">
        <v>250.0</v>
      </c>
      <c r="L65" s="3"/>
      <c r="M65" s="3"/>
      <c r="N65" s="3"/>
      <c r="O65" s="3"/>
      <c r="P65" s="3"/>
      <c r="Q65" s="3"/>
      <c r="R65" s="3"/>
      <c r="S65" s="3"/>
    </row>
    <row r="66">
      <c r="A66" s="6" t="s">
        <v>215</v>
      </c>
      <c r="B66" s="1">
        <v>1750.0</v>
      </c>
      <c r="C66" s="3"/>
      <c r="D66" s="3"/>
      <c r="E66" s="3"/>
      <c r="F66" s="3"/>
      <c r="G66" s="3"/>
      <c r="H66" s="3"/>
      <c r="I66" s="40"/>
      <c r="J66" s="6" t="s">
        <v>215</v>
      </c>
      <c r="K66" s="1">
        <v>1750.0</v>
      </c>
      <c r="L66" s="3"/>
      <c r="M66" s="3"/>
      <c r="N66" s="3"/>
      <c r="O66" s="3"/>
      <c r="P66" s="3"/>
      <c r="Q66" s="3"/>
      <c r="R66" s="3"/>
      <c r="S66" s="3"/>
    </row>
    <row r="67">
      <c r="A67" s="6" t="s">
        <v>39</v>
      </c>
      <c r="B67" s="1">
        <v>29.0</v>
      </c>
      <c r="C67" s="3"/>
      <c r="D67" s="3"/>
      <c r="E67" s="3"/>
      <c r="F67" s="3"/>
      <c r="G67" s="3"/>
      <c r="H67" s="3"/>
      <c r="I67" s="40"/>
      <c r="J67" s="6" t="s">
        <v>39</v>
      </c>
      <c r="K67" s="1">
        <v>29.0</v>
      </c>
      <c r="L67" s="3"/>
      <c r="M67" s="3"/>
      <c r="N67" s="3"/>
      <c r="O67" s="3"/>
      <c r="P67" s="3"/>
      <c r="Q67" s="3"/>
      <c r="R67" s="3"/>
      <c r="S67" s="3"/>
    </row>
    <row r="68">
      <c r="A68" s="6" t="s">
        <v>77</v>
      </c>
      <c r="B68" s="6" t="s">
        <v>78</v>
      </c>
      <c r="C68" s="6" t="s">
        <v>79</v>
      </c>
      <c r="D68" s="6" t="s">
        <v>80</v>
      </c>
      <c r="E68" s="6" t="s">
        <v>81</v>
      </c>
      <c r="F68" s="6" t="s">
        <v>82</v>
      </c>
      <c r="G68" s="6" t="s">
        <v>83</v>
      </c>
      <c r="H68" s="6" t="s">
        <v>217</v>
      </c>
      <c r="I68" s="40"/>
      <c r="J68" s="6" t="s">
        <v>77</v>
      </c>
      <c r="K68" s="6" t="s">
        <v>78</v>
      </c>
      <c r="L68" s="6" t="s">
        <v>79</v>
      </c>
      <c r="M68" s="6" t="s">
        <v>80</v>
      </c>
      <c r="N68" s="6" t="s">
        <v>81</v>
      </c>
      <c r="O68" s="6" t="s">
        <v>82</v>
      </c>
      <c r="P68" s="6" t="s">
        <v>83</v>
      </c>
      <c r="Q68" s="6" t="s">
        <v>217</v>
      </c>
      <c r="S68" s="3"/>
    </row>
    <row r="69">
      <c r="A69" s="1">
        <v>1.0</v>
      </c>
      <c r="B69" s="25">
        <v>0.45</v>
      </c>
      <c r="C69" s="37">
        <v>250.0</v>
      </c>
      <c r="D69" s="1">
        <v>41063.0</v>
      </c>
      <c r="E69" s="1">
        <v>-16425.0</v>
      </c>
      <c r="F69" s="1">
        <v>24638.0</v>
      </c>
      <c r="G69" s="25">
        <v>0.1</v>
      </c>
      <c r="H69" s="3"/>
      <c r="I69" s="40"/>
      <c r="J69" s="1">
        <v>1.0</v>
      </c>
      <c r="K69" s="25">
        <v>0.45</v>
      </c>
      <c r="L69" s="37">
        <v>250.0</v>
      </c>
      <c r="M69" s="1">
        <v>41063.0</v>
      </c>
      <c r="N69" s="1">
        <v>-16425.0</v>
      </c>
      <c r="O69" s="1">
        <v>24638.0</v>
      </c>
      <c r="P69" s="25">
        <v>0.1</v>
      </c>
      <c r="Q69" s="3"/>
      <c r="R69" s="3"/>
      <c r="S69" s="3"/>
    </row>
    <row r="70">
      <c r="A70" s="1">
        <v>2.0</v>
      </c>
      <c r="B70" s="25">
        <v>0.46</v>
      </c>
      <c r="C70" s="37">
        <v>250.0</v>
      </c>
      <c r="D70" s="1">
        <v>42294.0</v>
      </c>
      <c r="E70" s="1">
        <v>-16918.0</v>
      </c>
      <c r="F70" s="1">
        <v>25377.0</v>
      </c>
      <c r="G70" s="25">
        <v>0.1</v>
      </c>
      <c r="H70" s="3"/>
      <c r="I70" s="40"/>
      <c r="J70" s="1">
        <v>2.0</v>
      </c>
      <c r="K70" s="25">
        <v>0.5</v>
      </c>
      <c r="L70" s="37">
        <v>275.0</v>
      </c>
      <c r="M70" s="1">
        <v>49686.0</v>
      </c>
      <c r="N70" s="1">
        <v>-19874.0</v>
      </c>
      <c r="O70" s="1">
        <v>29811.0</v>
      </c>
      <c r="P70" s="25">
        <v>0.12</v>
      </c>
      <c r="Q70" s="3"/>
      <c r="R70" s="3"/>
      <c r="S70" s="3"/>
    </row>
    <row r="71">
      <c r="A71" s="1">
        <v>3.0</v>
      </c>
      <c r="B71" s="25">
        <v>0.48</v>
      </c>
      <c r="C71" s="37">
        <v>250.0</v>
      </c>
      <c r="D71" s="1">
        <v>43563.0</v>
      </c>
      <c r="E71" s="1">
        <v>-17425.0</v>
      </c>
      <c r="F71" s="1">
        <v>26138.0</v>
      </c>
      <c r="G71" s="25">
        <v>0.11</v>
      </c>
      <c r="H71" s="3"/>
      <c r="I71" s="40"/>
      <c r="J71" s="1">
        <v>3.0</v>
      </c>
      <c r="K71" s="25">
        <v>0.54</v>
      </c>
      <c r="L71" s="37" t="s">
        <v>225</v>
      </c>
      <c r="M71" s="1">
        <v>60120.0</v>
      </c>
      <c r="N71" s="1">
        <v>-24048.0</v>
      </c>
      <c r="O71" s="1">
        <v>36072.0</v>
      </c>
      <c r="P71" s="25">
        <v>0.15</v>
      </c>
      <c r="Q71" s="3"/>
      <c r="R71" s="3"/>
      <c r="S71" s="3"/>
    </row>
    <row r="72">
      <c r="A72" s="1">
        <v>4.0</v>
      </c>
      <c r="B72" s="25">
        <v>0.49</v>
      </c>
      <c r="C72" s="37">
        <v>250.0</v>
      </c>
      <c r="D72" s="1">
        <v>44870.0</v>
      </c>
      <c r="E72" s="1">
        <v>-17948.0</v>
      </c>
      <c r="F72" s="1">
        <v>26922.0</v>
      </c>
      <c r="G72" s="25">
        <v>0.11</v>
      </c>
      <c r="H72" s="3"/>
      <c r="I72" s="40"/>
      <c r="J72" s="1">
        <v>4.0</v>
      </c>
      <c r="K72" s="25">
        <v>0.6</v>
      </c>
      <c r="L72" s="37" t="s">
        <v>226</v>
      </c>
      <c r="M72" s="1">
        <v>72745.0</v>
      </c>
      <c r="N72" s="1">
        <v>-29098.0</v>
      </c>
      <c r="O72" s="1">
        <v>43647.0</v>
      </c>
      <c r="P72" s="25">
        <v>0.18</v>
      </c>
      <c r="Q72" s="3"/>
      <c r="R72" s="3"/>
      <c r="S72" s="3"/>
    </row>
    <row r="73">
      <c r="A73" s="1">
        <v>5.0</v>
      </c>
      <c r="B73" s="25">
        <v>0.51</v>
      </c>
      <c r="C73" s="37">
        <v>250.0</v>
      </c>
      <c r="D73" s="1">
        <v>46216.0</v>
      </c>
      <c r="E73" s="1">
        <v>-18486.0</v>
      </c>
      <c r="F73" s="1">
        <v>27730.0</v>
      </c>
      <c r="G73" s="25">
        <v>0.11</v>
      </c>
      <c r="H73" s="42">
        <v>9.0</v>
      </c>
      <c r="I73" s="40"/>
      <c r="J73" s="1">
        <v>5.0</v>
      </c>
      <c r="K73" s="25">
        <v>0.66</v>
      </c>
      <c r="L73" s="37" t="s">
        <v>227</v>
      </c>
      <c r="M73" s="1">
        <v>88021.0</v>
      </c>
      <c r="N73" s="1">
        <v>-35208.0</v>
      </c>
      <c r="O73" s="1">
        <v>52813.0</v>
      </c>
      <c r="P73" s="25">
        <v>0.21</v>
      </c>
      <c r="Q73" s="42">
        <v>5.0</v>
      </c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40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40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6" t="s">
        <v>228</v>
      </c>
      <c r="B76" s="6" t="s">
        <v>229</v>
      </c>
      <c r="C76" s="3"/>
      <c r="D76" s="3"/>
      <c r="E76" s="3"/>
      <c r="F76" s="3"/>
      <c r="G76" s="3"/>
      <c r="H76" s="3"/>
      <c r="I76" s="40"/>
      <c r="J76" s="6" t="s">
        <v>228</v>
      </c>
      <c r="K76" s="6" t="s">
        <v>229</v>
      </c>
      <c r="L76" s="3"/>
      <c r="M76" s="3"/>
      <c r="N76" s="3"/>
      <c r="O76" s="3"/>
      <c r="P76" s="3"/>
      <c r="Q76" s="3"/>
      <c r="R76" s="3"/>
      <c r="S76" s="3"/>
    </row>
    <row r="77">
      <c r="A77" s="6" t="s">
        <v>230</v>
      </c>
      <c r="B77" s="1">
        <v>38500.0</v>
      </c>
      <c r="C77" s="3"/>
      <c r="D77" s="3"/>
      <c r="E77" s="3"/>
      <c r="F77" s="3"/>
      <c r="G77" s="3"/>
      <c r="H77" s="3"/>
      <c r="I77" s="40"/>
      <c r="J77" s="6" t="s">
        <v>230</v>
      </c>
      <c r="K77" s="1">
        <v>38500.0</v>
      </c>
      <c r="L77" s="3"/>
      <c r="M77" s="3"/>
      <c r="N77" s="3"/>
      <c r="O77" s="3"/>
      <c r="P77" s="3"/>
      <c r="Q77" s="3"/>
      <c r="R77" s="3"/>
      <c r="S77" s="3"/>
    </row>
    <row r="78">
      <c r="A78" s="6" t="s">
        <v>213</v>
      </c>
      <c r="B78" s="1">
        <v>120.0</v>
      </c>
      <c r="C78" s="3"/>
      <c r="D78" s="3"/>
      <c r="E78" s="3"/>
      <c r="F78" s="3"/>
      <c r="G78" s="3"/>
      <c r="H78" s="3"/>
      <c r="I78" s="40"/>
      <c r="J78" s="6" t="s">
        <v>213</v>
      </c>
      <c r="K78" s="1">
        <v>120.0</v>
      </c>
      <c r="L78" s="3"/>
      <c r="M78" s="3"/>
      <c r="N78" s="3"/>
      <c r="O78" s="3"/>
      <c r="P78" s="3"/>
      <c r="Q78" s="3"/>
      <c r="R78" s="3"/>
      <c r="S78" s="3"/>
    </row>
    <row r="79">
      <c r="A79" s="6" t="s">
        <v>79</v>
      </c>
      <c r="B79" s="1">
        <v>248500.0</v>
      </c>
      <c r="C79" s="3"/>
      <c r="D79" s="3"/>
      <c r="E79" s="3"/>
      <c r="F79" s="3"/>
      <c r="G79" s="3"/>
      <c r="H79" s="3"/>
      <c r="I79" s="40"/>
      <c r="J79" s="6" t="s">
        <v>79</v>
      </c>
      <c r="K79" s="1">
        <v>248500.0</v>
      </c>
      <c r="L79" s="3"/>
      <c r="M79" s="3"/>
      <c r="N79" s="3"/>
      <c r="O79" s="3"/>
      <c r="P79" s="3"/>
      <c r="Q79" s="3"/>
      <c r="R79" s="3"/>
      <c r="S79" s="3"/>
    </row>
    <row r="80">
      <c r="A80" s="6" t="s">
        <v>214</v>
      </c>
      <c r="B80" s="1">
        <v>300.0</v>
      </c>
      <c r="C80" s="3"/>
      <c r="D80" s="3"/>
      <c r="E80" s="3"/>
      <c r="F80" s="3"/>
      <c r="G80" s="3"/>
      <c r="H80" s="3"/>
      <c r="I80" s="40"/>
      <c r="J80" s="6" t="s">
        <v>214</v>
      </c>
      <c r="K80" s="1">
        <v>300.0</v>
      </c>
      <c r="L80" s="3"/>
      <c r="M80" s="3"/>
      <c r="N80" s="3"/>
      <c r="O80" s="3"/>
      <c r="P80" s="3"/>
      <c r="Q80" s="3"/>
      <c r="R80" s="3"/>
      <c r="S80" s="3"/>
    </row>
    <row r="81">
      <c r="A81" s="6" t="s">
        <v>215</v>
      </c>
      <c r="B81" s="1">
        <v>1750.0</v>
      </c>
      <c r="C81" s="3"/>
      <c r="D81" s="3"/>
      <c r="E81" s="3"/>
      <c r="F81" s="3"/>
      <c r="G81" s="3"/>
      <c r="H81" s="3"/>
      <c r="I81" s="40"/>
      <c r="J81" s="6" t="s">
        <v>215</v>
      </c>
      <c r="K81" s="1">
        <v>1750.0</v>
      </c>
      <c r="L81" s="3"/>
      <c r="M81" s="3"/>
      <c r="N81" s="3"/>
      <c r="O81" s="3"/>
      <c r="P81" s="3"/>
      <c r="Q81" s="3"/>
      <c r="R81" s="3"/>
      <c r="S81" s="3"/>
    </row>
    <row r="82">
      <c r="A82" s="6" t="s">
        <v>39</v>
      </c>
      <c r="B82" s="1">
        <v>14.0</v>
      </c>
      <c r="C82" s="3"/>
      <c r="D82" s="3"/>
      <c r="E82" s="3"/>
      <c r="F82" s="3"/>
      <c r="G82" s="3"/>
      <c r="H82" s="3"/>
      <c r="I82" s="40"/>
      <c r="J82" s="6" t="s">
        <v>39</v>
      </c>
      <c r="K82" s="1">
        <v>14.0</v>
      </c>
      <c r="L82" s="3"/>
      <c r="M82" s="3"/>
      <c r="N82" s="3"/>
      <c r="O82" s="3"/>
      <c r="P82" s="3"/>
      <c r="Q82" s="3"/>
      <c r="R82" s="3"/>
      <c r="S82" s="3"/>
    </row>
    <row r="83">
      <c r="A83" s="6" t="s">
        <v>77</v>
      </c>
      <c r="B83" s="6" t="s">
        <v>78</v>
      </c>
      <c r="C83" s="6" t="s">
        <v>79</v>
      </c>
      <c r="D83" s="6" t="s">
        <v>80</v>
      </c>
      <c r="E83" s="6" t="s">
        <v>81</v>
      </c>
      <c r="F83" s="6" t="s">
        <v>82</v>
      </c>
      <c r="G83" s="6" t="s">
        <v>83</v>
      </c>
      <c r="H83" s="6" t="s">
        <v>217</v>
      </c>
      <c r="I83" s="40"/>
      <c r="J83" s="6" t="s">
        <v>77</v>
      </c>
      <c r="K83" s="6" t="s">
        <v>78</v>
      </c>
      <c r="L83" s="6" t="s">
        <v>79</v>
      </c>
      <c r="M83" s="6" t="s">
        <v>80</v>
      </c>
      <c r="N83" s="6" t="s">
        <v>81</v>
      </c>
      <c r="O83" s="6" t="s">
        <v>82</v>
      </c>
      <c r="P83" s="6" t="s">
        <v>83</v>
      </c>
      <c r="Q83" s="6" t="s">
        <v>217</v>
      </c>
      <c r="S83" s="3"/>
    </row>
    <row r="84">
      <c r="A84" s="1">
        <v>1.0</v>
      </c>
      <c r="B84" s="25">
        <v>0.45</v>
      </c>
      <c r="C84" s="37">
        <v>250.0</v>
      </c>
      <c r="D84" s="1">
        <v>41063.0</v>
      </c>
      <c r="E84" s="1">
        <v>-16425.0</v>
      </c>
      <c r="F84" s="1">
        <v>24638.0</v>
      </c>
      <c r="G84" s="25">
        <v>0.1</v>
      </c>
      <c r="H84" s="3"/>
      <c r="I84" s="40"/>
      <c r="J84" s="1">
        <v>1.0</v>
      </c>
      <c r="K84" s="25">
        <v>0.45</v>
      </c>
      <c r="L84" s="37">
        <v>250.0</v>
      </c>
      <c r="M84" s="1">
        <v>41063.0</v>
      </c>
      <c r="N84" s="1">
        <v>-16425.0</v>
      </c>
      <c r="O84" s="1">
        <v>24638.0</v>
      </c>
      <c r="P84" s="25">
        <v>0.1</v>
      </c>
      <c r="Q84" s="3"/>
      <c r="R84" s="3"/>
      <c r="S84" s="3"/>
    </row>
    <row r="85">
      <c r="A85" s="1">
        <v>2.0</v>
      </c>
      <c r="B85" s="25">
        <v>0.46</v>
      </c>
      <c r="C85" s="37">
        <v>250.0</v>
      </c>
      <c r="D85" s="1">
        <v>42294.0</v>
      </c>
      <c r="E85" s="1">
        <v>-16918.0</v>
      </c>
      <c r="F85" s="1">
        <v>25377.0</v>
      </c>
      <c r="G85" s="25">
        <v>0.1</v>
      </c>
      <c r="H85" s="3"/>
      <c r="I85" s="40"/>
      <c r="J85" s="1">
        <v>2.0</v>
      </c>
      <c r="K85" s="25">
        <v>0.5</v>
      </c>
      <c r="L85" s="37">
        <v>275.0</v>
      </c>
      <c r="M85" s="1">
        <v>49686.0</v>
      </c>
      <c r="N85" s="1">
        <v>-19874.0</v>
      </c>
      <c r="O85" s="1">
        <v>29811.0</v>
      </c>
      <c r="P85" s="25">
        <v>0.12</v>
      </c>
      <c r="Q85" s="3"/>
      <c r="R85" s="3"/>
      <c r="S85" s="3"/>
    </row>
    <row r="86">
      <c r="A86" s="1">
        <v>3.0</v>
      </c>
      <c r="B86" s="25">
        <v>0.48</v>
      </c>
      <c r="C86" s="37">
        <v>250.0</v>
      </c>
      <c r="D86" s="1">
        <v>43563.0</v>
      </c>
      <c r="E86" s="1">
        <v>-17425.0</v>
      </c>
      <c r="F86" s="1">
        <v>26138.0</v>
      </c>
      <c r="G86" s="25">
        <v>0.11</v>
      </c>
      <c r="H86" s="3"/>
      <c r="I86" s="40"/>
      <c r="J86" s="1">
        <v>3.0</v>
      </c>
      <c r="K86" s="25">
        <v>0.54</v>
      </c>
      <c r="L86" s="37">
        <v>303.0</v>
      </c>
      <c r="M86" s="1">
        <v>60120.0</v>
      </c>
      <c r="N86" s="1">
        <v>-24048.0</v>
      </c>
      <c r="O86" s="1">
        <v>36072.0</v>
      </c>
      <c r="P86" s="25">
        <v>0.15</v>
      </c>
      <c r="Q86" s="3"/>
      <c r="R86" s="3"/>
      <c r="S86" s="3"/>
    </row>
    <row r="87">
      <c r="A87" s="1">
        <v>4.0</v>
      </c>
      <c r="B87" s="25">
        <v>0.49</v>
      </c>
      <c r="C87" s="37">
        <v>250.0</v>
      </c>
      <c r="D87" s="1">
        <v>44870.0</v>
      </c>
      <c r="E87" s="1">
        <v>-17948.0</v>
      </c>
      <c r="F87" s="1">
        <v>26922.0</v>
      </c>
      <c r="G87" s="25">
        <v>0.11</v>
      </c>
      <c r="H87" s="3"/>
      <c r="I87" s="40"/>
      <c r="J87" s="1">
        <v>4.0</v>
      </c>
      <c r="K87" s="25">
        <v>0.6</v>
      </c>
      <c r="L87" s="37">
        <v>333.0</v>
      </c>
      <c r="M87" s="1">
        <v>72745.0</v>
      </c>
      <c r="N87" s="1">
        <v>-29098.0</v>
      </c>
      <c r="O87" s="1">
        <v>43647.0</v>
      </c>
      <c r="P87" s="25">
        <v>0.18</v>
      </c>
      <c r="Q87" s="3"/>
      <c r="R87" s="3"/>
      <c r="S87" s="3"/>
    </row>
    <row r="88">
      <c r="A88" s="1">
        <v>5.0</v>
      </c>
      <c r="B88" s="25">
        <v>0.51</v>
      </c>
      <c r="C88" s="37">
        <v>250.0</v>
      </c>
      <c r="D88" s="1">
        <v>46216.0</v>
      </c>
      <c r="E88" s="1">
        <v>-18486.0</v>
      </c>
      <c r="F88" s="1">
        <v>27730.0</v>
      </c>
      <c r="G88" s="25">
        <v>0.11</v>
      </c>
      <c r="H88" s="42">
        <v>9.0</v>
      </c>
      <c r="I88" s="40"/>
      <c r="J88" s="1">
        <v>5.0</v>
      </c>
      <c r="K88" s="25">
        <v>0.66</v>
      </c>
      <c r="L88" s="37">
        <v>366.0</v>
      </c>
      <c r="M88" s="1">
        <v>88021.0</v>
      </c>
      <c r="N88" s="1">
        <v>-35208.0</v>
      </c>
      <c r="O88" s="1">
        <v>52813.0</v>
      </c>
      <c r="P88" s="25">
        <v>0.21</v>
      </c>
      <c r="Q88" s="42">
        <v>5.0</v>
      </c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40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40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40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6" t="s">
        <v>48</v>
      </c>
      <c r="B92" s="6" t="s">
        <v>231</v>
      </c>
      <c r="C92" s="3"/>
      <c r="D92" s="3"/>
      <c r="E92" s="3"/>
      <c r="F92" s="3"/>
      <c r="G92" s="3"/>
      <c r="H92" s="3"/>
      <c r="I92" s="40"/>
      <c r="J92" s="6" t="s">
        <v>48</v>
      </c>
      <c r="K92" s="6" t="s">
        <v>231</v>
      </c>
      <c r="L92" s="3"/>
      <c r="M92" s="3"/>
      <c r="N92" s="3"/>
      <c r="O92" s="3"/>
      <c r="P92" s="3"/>
      <c r="Q92" s="3"/>
      <c r="R92" s="3"/>
      <c r="S92" s="3"/>
    </row>
    <row r="93">
      <c r="A93" s="44" t="s">
        <v>232</v>
      </c>
      <c r="B93" s="37">
        <v>49000.0</v>
      </c>
      <c r="C93" s="45"/>
      <c r="D93" s="45"/>
      <c r="E93" s="45"/>
      <c r="F93" s="45"/>
      <c r="G93" s="45"/>
      <c r="H93" s="45"/>
      <c r="I93" s="40"/>
      <c r="J93" s="44" t="s">
        <v>232</v>
      </c>
      <c r="K93" s="37">
        <v>49000.0</v>
      </c>
      <c r="L93" s="45"/>
      <c r="M93" s="45"/>
      <c r="N93" s="45"/>
      <c r="O93" s="45"/>
      <c r="P93" s="45"/>
      <c r="Q93" s="45"/>
      <c r="R93" s="3"/>
      <c r="S93" s="3"/>
    </row>
    <row r="94">
      <c r="A94" s="44" t="s">
        <v>213</v>
      </c>
      <c r="B94" s="37">
        <v>200.0</v>
      </c>
      <c r="C94" s="45"/>
      <c r="D94" s="45"/>
      <c r="E94" s="45"/>
      <c r="F94" s="45"/>
      <c r="G94" s="45"/>
      <c r="H94" s="45"/>
      <c r="I94" s="40"/>
      <c r="J94" s="44" t="s">
        <v>213</v>
      </c>
      <c r="K94" s="37">
        <v>200.0</v>
      </c>
      <c r="L94" s="45"/>
      <c r="M94" s="45"/>
      <c r="N94" s="45"/>
      <c r="O94" s="45"/>
      <c r="P94" s="45"/>
      <c r="Q94" s="45"/>
      <c r="R94" s="3"/>
      <c r="S94" s="3"/>
    </row>
    <row r="95">
      <c r="A95" s="44" t="s">
        <v>79</v>
      </c>
      <c r="B95" s="37">
        <v>399000.0</v>
      </c>
      <c r="C95" s="45"/>
      <c r="D95" s="45"/>
      <c r="E95" s="45"/>
      <c r="F95" s="45"/>
      <c r="G95" s="45"/>
      <c r="H95" s="45"/>
      <c r="I95" s="40"/>
      <c r="J95" s="44" t="s">
        <v>79</v>
      </c>
      <c r="K95" s="37">
        <v>399000.0</v>
      </c>
      <c r="L95" s="45"/>
      <c r="M95" s="45"/>
      <c r="N95" s="45"/>
      <c r="O95" s="45"/>
      <c r="P95" s="45"/>
      <c r="Q95" s="45"/>
      <c r="R95" s="3"/>
      <c r="S95" s="3"/>
    </row>
    <row r="96">
      <c r="A96" s="44" t="s">
        <v>214</v>
      </c>
      <c r="B96" s="37">
        <v>450.0</v>
      </c>
      <c r="C96" s="45"/>
      <c r="D96" s="45"/>
      <c r="E96" s="45"/>
      <c r="F96" s="45"/>
      <c r="G96" s="45"/>
      <c r="H96" s="45"/>
      <c r="I96" s="40"/>
      <c r="J96" s="44" t="s">
        <v>214</v>
      </c>
      <c r="K96" s="37">
        <v>450.0</v>
      </c>
      <c r="L96" s="45"/>
      <c r="M96" s="45"/>
      <c r="N96" s="45"/>
      <c r="O96" s="45"/>
      <c r="P96" s="45"/>
      <c r="Q96" s="45"/>
      <c r="R96" s="3"/>
      <c r="S96" s="3"/>
    </row>
    <row r="97">
      <c r="A97" s="44" t="s">
        <v>215</v>
      </c>
      <c r="B97" s="37">
        <v>1750.0</v>
      </c>
      <c r="C97" s="45"/>
      <c r="D97" s="45"/>
      <c r="E97" s="45"/>
      <c r="F97" s="45"/>
      <c r="G97" s="45"/>
      <c r="H97" s="45"/>
      <c r="I97" s="40"/>
      <c r="J97" s="44" t="s">
        <v>215</v>
      </c>
      <c r="K97" s="37">
        <v>1750.0</v>
      </c>
      <c r="L97" s="45"/>
      <c r="M97" s="45"/>
      <c r="N97" s="45"/>
      <c r="O97" s="45"/>
      <c r="P97" s="45"/>
      <c r="Q97" s="45"/>
      <c r="R97" s="3"/>
      <c r="S97" s="3"/>
    </row>
    <row r="98">
      <c r="A98" s="45"/>
      <c r="B98" s="45"/>
      <c r="C98" s="45"/>
      <c r="D98" s="45"/>
      <c r="E98" s="45"/>
      <c r="F98" s="45"/>
      <c r="G98" s="45"/>
      <c r="H98" s="45"/>
      <c r="I98" s="40"/>
      <c r="J98" s="45"/>
      <c r="K98" s="45"/>
      <c r="L98" s="45"/>
      <c r="M98" s="45"/>
      <c r="N98" s="45"/>
      <c r="O98" s="45"/>
      <c r="P98" s="45"/>
      <c r="Q98" s="45"/>
      <c r="R98" s="3"/>
      <c r="S98" s="3"/>
    </row>
    <row r="99">
      <c r="A99" s="44" t="s">
        <v>77</v>
      </c>
      <c r="B99" s="44" t="s">
        <v>78</v>
      </c>
      <c r="C99" s="44" t="s">
        <v>79</v>
      </c>
      <c r="D99" s="44" t="s">
        <v>80</v>
      </c>
      <c r="E99" s="44" t="s">
        <v>81</v>
      </c>
      <c r="F99" s="44" t="s">
        <v>82</v>
      </c>
      <c r="G99" s="44" t="s">
        <v>83</v>
      </c>
      <c r="H99" s="44" t="s">
        <v>217</v>
      </c>
      <c r="I99" s="40"/>
      <c r="J99" s="44" t="s">
        <v>77</v>
      </c>
      <c r="K99" s="44" t="s">
        <v>78</v>
      </c>
      <c r="L99" s="44" t="s">
        <v>79</v>
      </c>
      <c r="M99" s="44" t="s">
        <v>80</v>
      </c>
      <c r="N99" s="44" t="s">
        <v>81</v>
      </c>
      <c r="O99" s="44" t="s">
        <v>82</v>
      </c>
      <c r="P99" s="44" t="s">
        <v>83</v>
      </c>
      <c r="Q99" s="44" t="s">
        <v>217</v>
      </c>
      <c r="R99" s="3"/>
      <c r="S99" s="3"/>
    </row>
    <row r="100">
      <c r="A100" s="37">
        <v>1.0</v>
      </c>
      <c r="B100" s="46">
        <v>0.45</v>
      </c>
      <c r="C100" s="37">
        <v>450.0</v>
      </c>
      <c r="D100" s="37">
        <v>73913.0</v>
      </c>
      <c r="E100" s="37">
        <v>-29565.0</v>
      </c>
      <c r="F100" s="37">
        <v>44348.0</v>
      </c>
      <c r="G100" s="46">
        <v>0.11</v>
      </c>
      <c r="H100" s="45"/>
      <c r="I100" s="40"/>
      <c r="J100" s="37">
        <v>1.0</v>
      </c>
      <c r="K100" s="46">
        <v>0.45</v>
      </c>
      <c r="L100" s="37">
        <v>450.0</v>
      </c>
      <c r="M100" s="37">
        <v>73913.0</v>
      </c>
      <c r="N100" s="37">
        <v>-29565.0</v>
      </c>
      <c r="O100" s="37">
        <v>44348.0</v>
      </c>
      <c r="P100" s="46">
        <v>0.11</v>
      </c>
      <c r="Q100" s="45"/>
      <c r="R100" s="3"/>
      <c r="S100" s="3"/>
    </row>
    <row r="101">
      <c r="A101" s="37">
        <v>2.0</v>
      </c>
      <c r="B101" s="46">
        <v>0.46</v>
      </c>
      <c r="C101" s="37">
        <v>450.0</v>
      </c>
      <c r="D101" s="37">
        <v>76130.0</v>
      </c>
      <c r="E101" s="37">
        <v>-30452.0</v>
      </c>
      <c r="F101" s="37">
        <v>45678.0</v>
      </c>
      <c r="G101" s="46">
        <v>0.11</v>
      </c>
      <c r="H101" s="45"/>
      <c r="I101" s="40"/>
      <c r="J101" s="37">
        <v>2.0</v>
      </c>
      <c r="K101" s="46">
        <v>0.5</v>
      </c>
      <c r="L101" s="37">
        <v>495.0</v>
      </c>
      <c r="M101" s="37">
        <v>89434.0</v>
      </c>
      <c r="N101" s="37">
        <v>-35774.0</v>
      </c>
      <c r="O101" s="37">
        <v>53660.0</v>
      </c>
      <c r="P101" s="46">
        <v>0.13</v>
      </c>
      <c r="Q101" s="45"/>
      <c r="R101" s="3"/>
      <c r="S101" s="3"/>
    </row>
    <row r="102">
      <c r="A102" s="37">
        <v>3.0</v>
      </c>
      <c r="B102" s="46">
        <v>0.48</v>
      </c>
      <c r="C102" s="37">
        <v>450.0</v>
      </c>
      <c r="D102" s="37">
        <v>78414.0</v>
      </c>
      <c r="E102" s="37">
        <v>-31366.0</v>
      </c>
      <c r="F102" s="37">
        <v>47048.0</v>
      </c>
      <c r="G102" s="46">
        <v>0.12</v>
      </c>
      <c r="H102" s="45"/>
      <c r="I102" s="40"/>
      <c r="J102" s="37">
        <v>3.0</v>
      </c>
      <c r="K102" s="46">
        <v>0.54</v>
      </c>
      <c r="L102" s="37">
        <v>545.0</v>
      </c>
      <c r="M102" s="37">
        <v>108215.0</v>
      </c>
      <c r="N102" s="37">
        <v>-43286.0</v>
      </c>
      <c r="O102" s="37">
        <v>64929.0</v>
      </c>
      <c r="P102" s="46">
        <v>0.16</v>
      </c>
      <c r="Q102" s="45"/>
      <c r="R102" s="3"/>
      <c r="S102" s="3"/>
    </row>
    <row r="103">
      <c r="A103" s="37">
        <v>4.0</v>
      </c>
      <c r="B103" s="46">
        <v>0.49</v>
      </c>
      <c r="C103" s="37">
        <v>450.0</v>
      </c>
      <c r="D103" s="37">
        <v>80766.0</v>
      </c>
      <c r="E103" s="37">
        <v>-32306.0</v>
      </c>
      <c r="F103" s="37">
        <v>48460.0</v>
      </c>
      <c r="G103" s="46">
        <v>0.12</v>
      </c>
      <c r="H103" s="45"/>
      <c r="I103" s="40"/>
      <c r="J103" s="37">
        <v>4.0</v>
      </c>
      <c r="K103" s="46">
        <v>0.6</v>
      </c>
      <c r="L103" s="37">
        <v>599.0</v>
      </c>
      <c r="M103" s="37">
        <v>130941.0</v>
      </c>
      <c r="N103" s="37">
        <v>-52376.0</v>
      </c>
      <c r="O103" s="37">
        <v>78564.0</v>
      </c>
      <c r="P103" s="46">
        <v>0.2</v>
      </c>
      <c r="Q103" s="45"/>
      <c r="R103" s="3"/>
      <c r="S103" s="3"/>
    </row>
    <row r="104">
      <c r="A104" s="37">
        <v>5.0</v>
      </c>
      <c r="B104" s="46">
        <v>0.51</v>
      </c>
      <c r="C104" s="37">
        <v>450.0</v>
      </c>
      <c r="D104" s="37">
        <v>83189.0</v>
      </c>
      <c r="E104" s="37">
        <v>-33276.0</v>
      </c>
      <c r="F104" s="37">
        <v>49914.0</v>
      </c>
      <c r="G104" s="46">
        <v>0.13</v>
      </c>
      <c r="H104" s="48" t="s">
        <v>233</v>
      </c>
      <c r="I104" s="40"/>
      <c r="J104" s="37">
        <v>5.0</v>
      </c>
      <c r="K104" s="46">
        <v>0.66</v>
      </c>
      <c r="L104" s="37">
        <v>659.0</v>
      </c>
      <c r="M104" s="37">
        <v>158438.0</v>
      </c>
      <c r="N104" s="37">
        <v>-63375.0</v>
      </c>
      <c r="O104" s="37">
        <v>95063.0</v>
      </c>
      <c r="P104" s="46">
        <v>0.24</v>
      </c>
      <c r="Q104" s="47">
        <v>46057.0</v>
      </c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40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40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49"/>
      <c r="I107" s="40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23"/>
      <c r="B109" s="23"/>
      <c r="C109" s="23"/>
      <c r="D109" s="23"/>
      <c r="E109" s="23"/>
      <c r="F109" s="23"/>
      <c r="G109" s="23"/>
      <c r="H109" s="2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24" t="s">
        <v>234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8" t="s">
        <v>235</v>
      </c>
      <c r="C111" s="25">
        <v>0.15</v>
      </c>
      <c r="D111" s="24" t="s">
        <v>236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8" t="s">
        <v>237</v>
      </c>
      <c r="C112" s="25">
        <v>0.15</v>
      </c>
      <c r="D112" s="24" t="s">
        <v>238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8" t="s">
        <v>239</v>
      </c>
      <c r="C113" s="25">
        <v>0.05</v>
      </c>
      <c r="D113" s="24" t="s">
        <v>240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8" t="s">
        <v>241</v>
      </c>
      <c r="C114" s="25">
        <v>0.05</v>
      </c>
      <c r="D114" s="24" t="s">
        <v>242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8" t="s">
        <v>243</v>
      </c>
      <c r="C115" s="25">
        <v>0.4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</sheetData>
  <mergeCells count="18">
    <mergeCell ref="A1:H1"/>
    <mergeCell ref="J1:O1"/>
    <mergeCell ref="Q8:R8"/>
    <mergeCell ref="Q22:R22"/>
    <mergeCell ref="Q38:R38"/>
    <mergeCell ref="Q68:R68"/>
    <mergeCell ref="Q83:R83"/>
    <mergeCell ref="A113:B113"/>
    <mergeCell ref="A114:B114"/>
    <mergeCell ref="A115:B115"/>
    <mergeCell ref="A107:H108"/>
    <mergeCell ref="A110:F110"/>
    <mergeCell ref="A111:B111"/>
    <mergeCell ref="D111:F111"/>
    <mergeCell ref="A112:B112"/>
    <mergeCell ref="D112:F112"/>
    <mergeCell ref="D113:F113"/>
    <mergeCell ref="D114:F1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244</v>
      </c>
      <c r="B1" s="6" t="s">
        <v>245</v>
      </c>
      <c r="C1" s="6" t="s">
        <v>246</v>
      </c>
      <c r="D1" s="6" t="s">
        <v>247</v>
      </c>
      <c r="E1" s="3"/>
      <c r="F1" s="6" t="s">
        <v>248</v>
      </c>
      <c r="G1" s="6" t="s">
        <v>245</v>
      </c>
      <c r="H1" s="6" t="s">
        <v>246</v>
      </c>
      <c r="I1" s="6" t="s">
        <v>247</v>
      </c>
      <c r="J1" s="3"/>
      <c r="K1" s="6" t="s">
        <v>249</v>
      </c>
      <c r="L1" s="6" t="s">
        <v>245</v>
      </c>
      <c r="M1" s="6" t="s">
        <v>246</v>
      </c>
      <c r="N1" s="6" t="s">
        <v>247</v>
      </c>
      <c r="O1" s="3"/>
      <c r="P1" s="6" t="s">
        <v>250</v>
      </c>
      <c r="Q1" s="6" t="s">
        <v>245</v>
      </c>
      <c r="R1" s="6" t="s">
        <v>246</v>
      </c>
      <c r="S1" s="6" t="s">
        <v>247</v>
      </c>
    </row>
    <row r="2">
      <c r="A2" s="6" t="s">
        <v>251</v>
      </c>
      <c r="B2" s="6" t="s">
        <v>252</v>
      </c>
      <c r="C2" s="1" t="s">
        <v>253</v>
      </c>
      <c r="D2" s="6" t="s">
        <v>254</v>
      </c>
      <c r="F2" s="6" t="s">
        <v>255</v>
      </c>
      <c r="G2" s="6" t="s">
        <v>256</v>
      </c>
      <c r="H2" s="1" t="s">
        <v>257</v>
      </c>
      <c r="I2" s="6" t="s">
        <v>258</v>
      </c>
      <c r="J2" s="3"/>
      <c r="K2" s="6" t="s">
        <v>259</v>
      </c>
      <c r="L2" s="6" t="s">
        <v>260</v>
      </c>
      <c r="M2" s="1" t="s">
        <v>261</v>
      </c>
      <c r="N2" s="6" t="s">
        <v>262</v>
      </c>
      <c r="O2" s="3"/>
      <c r="P2" s="6" t="s">
        <v>263</v>
      </c>
      <c r="Q2" s="6" t="s">
        <v>264</v>
      </c>
      <c r="R2" s="1">
        <v>491.0</v>
      </c>
      <c r="S2" s="6" t="s">
        <v>45</v>
      </c>
    </row>
    <row r="3">
      <c r="A3" s="6" t="s">
        <v>265</v>
      </c>
      <c r="B3" s="6" t="s">
        <v>266</v>
      </c>
      <c r="C3" s="1" t="s">
        <v>267</v>
      </c>
      <c r="D3" s="6" t="s">
        <v>262</v>
      </c>
      <c r="E3" s="3"/>
      <c r="F3" s="6" t="s">
        <v>268</v>
      </c>
      <c r="G3" s="6" t="s">
        <v>269</v>
      </c>
      <c r="H3" s="1" t="s">
        <v>270</v>
      </c>
      <c r="I3" s="6" t="s">
        <v>45</v>
      </c>
      <c r="K3" s="6" t="s">
        <v>271</v>
      </c>
      <c r="L3" s="6" t="s">
        <v>272</v>
      </c>
      <c r="M3" s="1">
        <v>384.0</v>
      </c>
      <c r="N3" s="6" t="s">
        <v>258</v>
      </c>
      <c r="O3" s="3"/>
      <c r="P3" s="6" t="s">
        <v>273</v>
      </c>
      <c r="Q3" s="6" t="s">
        <v>274</v>
      </c>
      <c r="R3" s="1" t="s">
        <v>275</v>
      </c>
      <c r="S3" s="6" t="s">
        <v>46</v>
      </c>
    </row>
    <row r="4">
      <c r="A4" s="6" t="s">
        <v>276</v>
      </c>
      <c r="B4" s="6" t="s">
        <v>277</v>
      </c>
      <c r="C4" s="1" t="s">
        <v>278</v>
      </c>
      <c r="D4" s="6" t="s">
        <v>262</v>
      </c>
      <c r="E4" s="3"/>
      <c r="F4" s="6" t="s">
        <v>279</v>
      </c>
      <c r="G4" s="6" t="s">
        <v>280</v>
      </c>
      <c r="H4" s="1" t="s">
        <v>281</v>
      </c>
      <c r="I4" s="6" t="s">
        <v>46</v>
      </c>
      <c r="J4" s="3"/>
      <c r="K4" s="6" t="s">
        <v>282</v>
      </c>
      <c r="L4" s="6" t="s">
        <v>283</v>
      </c>
      <c r="M4" s="1" t="s">
        <v>284</v>
      </c>
      <c r="N4" s="6" t="s">
        <v>46</v>
      </c>
      <c r="O4" s="3"/>
      <c r="P4" s="6" t="s">
        <v>285</v>
      </c>
      <c r="Q4" s="6" t="s">
        <v>286</v>
      </c>
      <c r="R4" s="1">
        <v>570.0</v>
      </c>
      <c r="S4" s="6" t="s">
        <v>46</v>
      </c>
    </row>
    <row r="5">
      <c r="A5" s="6" t="s">
        <v>287</v>
      </c>
      <c r="B5" s="6" t="s">
        <v>288</v>
      </c>
      <c r="C5" s="1" t="s">
        <v>289</v>
      </c>
      <c r="D5" s="6" t="s">
        <v>46</v>
      </c>
      <c r="E5" s="3"/>
      <c r="F5" s="6" t="s">
        <v>290</v>
      </c>
      <c r="G5" s="6" t="s">
        <v>291</v>
      </c>
      <c r="H5" s="1" t="s">
        <v>292</v>
      </c>
      <c r="I5" s="6" t="s">
        <v>46</v>
      </c>
      <c r="J5" s="3"/>
      <c r="K5" s="6" t="s">
        <v>293</v>
      </c>
      <c r="L5" s="6" t="s">
        <v>294</v>
      </c>
      <c r="M5" s="1" t="s">
        <v>295</v>
      </c>
      <c r="N5" s="6" t="s">
        <v>46</v>
      </c>
      <c r="O5" s="3"/>
      <c r="P5" s="6" t="s">
        <v>296</v>
      </c>
      <c r="Q5" s="6" t="s">
        <v>297</v>
      </c>
      <c r="R5" s="1">
        <v>570.0</v>
      </c>
      <c r="S5" s="6" t="s">
        <v>46</v>
      </c>
    </row>
    <row r="6">
      <c r="A6" s="6" t="s">
        <v>298</v>
      </c>
      <c r="B6" s="6" t="s">
        <v>299</v>
      </c>
      <c r="C6" s="1" t="s">
        <v>300</v>
      </c>
      <c r="D6" s="6" t="s">
        <v>46</v>
      </c>
      <c r="E6" s="3"/>
      <c r="F6" s="6" t="s">
        <v>301</v>
      </c>
      <c r="G6" s="6" t="s">
        <v>302</v>
      </c>
      <c r="H6" s="1" t="s">
        <v>303</v>
      </c>
      <c r="I6" s="6" t="s">
        <v>262</v>
      </c>
      <c r="J6" s="3"/>
      <c r="K6" s="6" t="s">
        <v>304</v>
      </c>
      <c r="L6" s="6" t="s">
        <v>305</v>
      </c>
      <c r="M6" s="1" t="s">
        <v>306</v>
      </c>
      <c r="N6" s="6" t="s">
        <v>46</v>
      </c>
      <c r="O6" s="3"/>
      <c r="P6" s="6" t="s">
        <v>307</v>
      </c>
      <c r="Q6" s="6" t="s">
        <v>308</v>
      </c>
      <c r="R6" s="1" t="s">
        <v>309</v>
      </c>
      <c r="S6" s="6" t="s">
        <v>254</v>
      </c>
    </row>
    <row r="7">
      <c r="A7" s="6" t="s">
        <v>310</v>
      </c>
      <c r="B7" s="6" t="s">
        <v>311</v>
      </c>
      <c r="C7" s="1" t="s">
        <v>312</v>
      </c>
      <c r="D7" s="6" t="s">
        <v>254</v>
      </c>
      <c r="F7" s="6" t="s">
        <v>313</v>
      </c>
      <c r="G7" s="6" t="s">
        <v>314</v>
      </c>
      <c r="H7" s="1" t="s">
        <v>315</v>
      </c>
      <c r="I7" s="6" t="s">
        <v>262</v>
      </c>
      <c r="J7" s="3"/>
      <c r="K7" s="6" t="s">
        <v>316</v>
      </c>
      <c r="L7" s="6" t="s">
        <v>317</v>
      </c>
      <c r="M7" s="1" t="s">
        <v>318</v>
      </c>
      <c r="N7" s="6" t="s">
        <v>45</v>
      </c>
      <c r="P7" s="6" t="s">
        <v>319</v>
      </c>
      <c r="Q7" s="6" t="s">
        <v>320</v>
      </c>
      <c r="R7" s="1" t="s">
        <v>321</v>
      </c>
      <c r="S7" s="6" t="s">
        <v>254</v>
      </c>
    </row>
    <row r="8">
      <c r="A8" s="6" t="s">
        <v>322</v>
      </c>
      <c r="B8" s="6" t="s">
        <v>323</v>
      </c>
      <c r="C8" s="1" t="s">
        <v>324</v>
      </c>
      <c r="D8" s="6" t="s">
        <v>254</v>
      </c>
      <c r="F8" s="6" t="s">
        <v>325</v>
      </c>
      <c r="G8" s="6" t="s">
        <v>326</v>
      </c>
      <c r="H8" s="1" t="s">
        <v>327</v>
      </c>
      <c r="I8" s="6" t="s">
        <v>46</v>
      </c>
      <c r="J8" s="3"/>
      <c r="K8" s="6" t="s">
        <v>328</v>
      </c>
      <c r="L8" s="6" t="s">
        <v>329</v>
      </c>
      <c r="M8" s="1" t="s">
        <v>330</v>
      </c>
      <c r="N8" s="6" t="s">
        <v>45</v>
      </c>
      <c r="P8" s="6" t="s">
        <v>331</v>
      </c>
      <c r="Q8" s="6" t="s">
        <v>332</v>
      </c>
      <c r="R8" s="1" t="s">
        <v>333</v>
      </c>
      <c r="S8" s="6" t="s">
        <v>46</v>
      </c>
    </row>
    <row r="9">
      <c r="A9" s="6" t="s">
        <v>334</v>
      </c>
      <c r="B9" s="6" t="s">
        <v>335</v>
      </c>
      <c r="C9" s="50" t="s">
        <v>336</v>
      </c>
      <c r="D9" s="6" t="s">
        <v>254</v>
      </c>
      <c r="F9" s="6" t="s">
        <v>337</v>
      </c>
      <c r="G9" s="6" t="s">
        <v>338</v>
      </c>
      <c r="H9" s="1" t="s">
        <v>339</v>
      </c>
      <c r="I9" s="6" t="s">
        <v>46</v>
      </c>
      <c r="J9" s="3"/>
      <c r="K9" s="6" t="s">
        <v>340</v>
      </c>
      <c r="L9" s="6" t="s">
        <v>341</v>
      </c>
      <c r="M9" s="1" t="s">
        <v>342</v>
      </c>
      <c r="N9" s="6" t="s">
        <v>46</v>
      </c>
      <c r="O9" s="3"/>
      <c r="P9" s="6" t="s">
        <v>343</v>
      </c>
      <c r="Q9" s="6" t="s">
        <v>344</v>
      </c>
      <c r="R9" s="1" t="s">
        <v>345</v>
      </c>
      <c r="S9" s="6" t="s">
        <v>45</v>
      </c>
    </row>
    <row r="10">
      <c r="A10" s="6" t="s">
        <v>346</v>
      </c>
      <c r="B10" s="6" t="s">
        <v>347</v>
      </c>
      <c r="C10" s="1" t="s">
        <v>348</v>
      </c>
      <c r="D10" s="6" t="s">
        <v>46</v>
      </c>
      <c r="E10" s="3"/>
      <c r="F10" s="6" t="s">
        <v>349</v>
      </c>
      <c r="G10" s="6" t="s">
        <v>350</v>
      </c>
      <c r="H10" s="1">
        <v>548.0</v>
      </c>
      <c r="I10" s="6" t="s">
        <v>46</v>
      </c>
      <c r="J10" s="3"/>
      <c r="K10" s="6" t="s">
        <v>351</v>
      </c>
      <c r="L10" s="6" t="s">
        <v>352</v>
      </c>
      <c r="M10" s="1" t="s">
        <v>353</v>
      </c>
      <c r="N10" s="6" t="s">
        <v>46</v>
      </c>
      <c r="O10" s="3"/>
      <c r="P10" s="6" t="s">
        <v>354</v>
      </c>
      <c r="Q10" s="6" t="s">
        <v>355</v>
      </c>
      <c r="R10" s="1" t="s">
        <v>356</v>
      </c>
      <c r="S10" s="6" t="s">
        <v>258</v>
      </c>
    </row>
    <row r="11">
      <c r="A11" s="6" t="s">
        <v>357</v>
      </c>
      <c r="B11" s="6" t="s">
        <v>358</v>
      </c>
      <c r="C11" s="1" t="s">
        <v>359</v>
      </c>
      <c r="D11" s="6" t="s">
        <v>45</v>
      </c>
      <c r="F11" s="6" t="s">
        <v>360</v>
      </c>
      <c r="G11" s="6" t="s">
        <v>361</v>
      </c>
      <c r="H11" s="1" t="s">
        <v>362</v>
      </c>
      <c r="I11" s="6" t="s">
        <v>46</v>
      </c>
      <c r="J11" s="3"/>
      <c r="K11" s="6" t="s">
        <v>363</v>
      </c>
      <c r="L11" s="6" t="s">
        <v>364</v>
      </c>
      <c r="M11" s="1" t="s">
        <v>365</v>
      </c>
      <c r="N11" s="6" t="s">
        <v>46</v>
      </c>
      <c r="O11" s="3"/>
      <c r="P11" s="6" t="s">
        <v>366</v>
      </c>
      <c r="Q11" s="6" t="s">
        <v>367</v>
      </c>
      <c r="R11" s="1" t="s">
        <v>368</v>
      </c>
      <c r="S11" s="6" t="s">
        <v>46</v>
      </c>
    </row>
    <row r="12">
      <c r="A12" s="6" t="s">
        <v>369</v>
      </c>
      <c r="B12" s="6" t="s">
        <v>370</v>
      </c>
      <c r="C12" s="1">
        <v>393.0</v>
      </c>
      <c r="D12" s="6" t="s">
        <v>258</v>
      </c>
      <c r="E12" s="3"/>
      <c r="F12" s="6" t="s">
        <v>371</v>
      </c>
      <c r="G12" s="6" t="s">
        <v>372</v>
      </c>
      <c r="H12" s="1" t="s">
        <v>373</v>
      </c>
      <c r="I12" s="6" t="s">
        <v>45</v>
      </c>
      <c r="K12" s="6" t="s">
        <v>374</v>
      </c>
      <c r="L12" s="6" t="s">
        <v>375</v>
      </c>
      <c r="M12" s="1" t="s">
        <v>376</v>
      </c>
      <c r="N12" s="6" t="s">
        <v>45</v>
      </c>
      <c r="P12" s="6" t="s">
        <v>377</v>
      </c>
      <c r="Q12" s="6" t="s">
        <v>378</v>
      </c>
      <c r="R12" s="1" t="s">
        <v>379</v>
      </c>
      <c r="S12" s="6" t="s">
        <v>45</v>
      </c>
    </row>
    <row r="13">
      <c r="A13" s="6" t="s">
        <v>380</v>
      </c>
      <c r="B13" s="6" t="s">
        <v>381</v>
      </c>
      <c r="C13" s="1" t="s">
        <v>382</v>
      </c>
      <c r="D13" s="6" t="s">
        <v>45</v>
      </c>
      <c r="F13" s="6" t="s">
        <v>383</v>
      </c>
      <c r="G13" s="6" t="s">
        <v>384</v>
      </c>
      <c r="H13" s="1" t="s">
        <v>385</v>
      </c>
      <c r="I13" s="6" t="s">
        <v>258</v>
      </c>
      <c r="J13" s="3"/>
      <c r="K13" s="6" t="s">
        <v>386</v>
      </c>
      <c r="L13" s="6" t="s">
        <v>387</v>
      </c>
      <c r="M13" s="1" t="s">
        <v>388</v>
      </c>
      <c r="N13" s="6" t="s">
        <v>45</v>
      </c>
      <c r="P13" s="6" t="s">
        <v>389</v>
      </c>
      <c r="Q13" s="6" t="s">
        <v>390</v>
      </c>
      <c r="R13" s="1">
        <v>399.0</v>
      </c>
      <c r="S13" s="6" t="s">
        <v>258</v>
      </c>
    </row>
    <row r="14">
      <c r="A14" s="6" t="s">
        <v>391</v>
      </c>
      <c r="B14" s="6" t="s">
        <v>392</v>
      </c>
      <c r="C14" s="1" t="s">
        <v>393</v>
      </c>
      <c r="D14" s="6" t="s">
        <v>45</v>
      </c>
      <c r="F14" s="6" t="s">
        <v>394</v>
      </c>
      <c r="G14" s="6" t="s">
        <v>395</v>
      </c>
      <c r="H14" s="1" t="s">
        <v>396</v>
      </c>
      <c r="I14" s="6" t="s">
        <v>258</v>
      </c>
      <c r="J14" s="3"/>
      <c r="K14" s="6" t="s">
        <v>397</v>
      </c>
      <c r="L14" s="6" t="s">
        <v>398</v>
      </c>
      <c r="M14" s="1" t="s">
        <v>399</v>
      </c>
      <c r="N14" s="6" t="s">
        <v>258</v>
      </c>
      <c r="O14" s="3"/>
      <c r="P14" s="6" t="s">
        <v>400</v>
      </c>
      <c r="Q14" s="6" t="s">
        <v>401</v>
      </c>
      <c r="R14" s="1" t="s">
        <v>402</v>
      </c>
      <c r="S14" s="6" t="s">
        <v>258</v>
      </c>
    </row>
    <row r="15">
      <c r="A15" s="6" t="s">
        <v>403</v>
      </c>
      <c r="B15" s="6" t="s">
        <v>404</v>
      </c>
      <c r="C15" s="1" t="s">
        <v>405</v>
      </c>
      <c r="D15" s="6" t="s">
        <v>45</v>
      </c>
      <c r="F15" s="6" t="s">
        <v>406</v>
      </c>
      <c r="G15" s="6" t="s">
        <v>407</v>
      </c>
      <c r="H15" s="1" t="s">
        <v>408</v>
      </c>
      <c r="I15" s="6" t="s">
        <v>46</v>
      </c>
      <c r="J15" s="3"/>
      <c r="K15" s="6" t="s">
        <v>409</v>
      </c>
      <c r="L15" s="6" t="s">
        <v>410</v>
      </c>
      <c r="M15" s="1" t="s">
        <v>411</v>
      </c>
      <c r="N15" s="6" t="s">
        <v>258</v>
      </c>
      <c r="O15" s="3"/>
      <c r="P15" s="6" t="s">
        <v>412</v>
      </c>
      <c r="Q15" s="6" t="s">
        <v>413</v>
      </c>
      <c r="R15" s="1" t="s">
        <v>414</v>
      </c>
      <c r="S15" s="6" t="s">
        <v>258</v>
      </c>
    </row>
    <row r="16">
      <c r="A16" s="6" t="s">
        <v>415</v>
      </c>
      <c r="B16" s="6" t="s">
        <v>416</v>
      </c>
      <c r="C16" s="1" t="s">
        <v>417</v>
      </c>
      <c r="D16" s="6" t="s">
        <v>262</v>
      </c>
      <c r="E16" s="3"/>
      <c r="F16" s="6" t="s">
        <v>418</v>
      </c>
      <c r="G16" s="6" t="s">
        <v>419</v>
      </c>
      <c r="H16" s="1" t="s">
        <v>420</v>
      </c>
      <c r="I16" s="6" t="s">
        <v>262</v>
      </c>
      <c r="J16" s="3"/>
      <c r="K16" s="6" t="s">
        <v>421</v>
      </c>
      <c r="L16" s="6" t="s">
        <v>422</v>
      </c>
      <c r="M16" s="1" t="s">
        <v>423</v>
      </c>
      <c r="N16" s="6" t="s">
        <v>45</v>
      </c>
      <c r="P16" s="6" t="s">
        <v>424</v>
      </c>
      <c r="Q16" s="6" t="s">
        <v>425</v>
      </c>
      <c r="R16" s="1" t="s">
        <v>426</v>
      </c>
      <c r="S16" s="6" t="s">
        <v>258</v>
      </c>
    </row>
    <row r="17">
      <c r="A17" s="6" t="s">
        <v>427</v>
      </c>
      <c r="B17" s="6" t="s">
        <v>428</v>
      </c>
      <c r="C17" s="1" t="s">
        <v>429</v>
      </c>
      <c r="D17" s="6" t="s">
        <v>46</v>
      </c>
      <c r="E17" s="3"/>
      <c r="F17" s="6" t="s">
        <v>430</v>
      </c>
      <c r="G17" s="6" t="s">
        <v>431</v>
      </c>
      <c r="H17" s="1" t="s">
        <v>432</v>
      </c>
      <c r="I17" s="6" t="s">
        <v>46</v>
      </c>
      <c r="J17" s="3"/>
      <c r="K17" s="6" t="s">
        <v>433</v>
      </c>
      <c r="L17" s="6" t="s">
        <v>434</v>
      </c>
      <c r="M17" s="1" t="s">
        <v>423</v>
      </c>
      <c r="N17" s="6" t="s">
        <v>45</v>
      </c>
      <c r="P17" s="6" t="s">
        <v>435</v>
      </c>
      <c r="Q17" s="6" t="s">
        <v>436</v>
      </c>
      <c r="R17" s="1" t="s">
        <v>437</v>
      </c>
      <c r="S17" s="6" t="s">
        <v>258</v>
      </c>
    </row>
    <row r="18">
      <c r="A18" s="6" t="s">
        <v>438</v>
      </c>
      <c r="B18" s="6" t="s">
        <v>439</v>
      </c>
      <c r="C18" s="1" t="s">
        <v>440</v>
      </c>
      <c r="D18" s="6" t="s">
        <v>45</v>
      </c>
      <c r="F18" s="6" t="s">
        <v>441</v>
      </c>
      <c r="G18" s="6" t="s">
        <v>442</v>
      </c>
      <c r="H18" s="1">
        <v>376.0</v>
      </c>
      <c r="I18" s="6" t="s">
        <v>258</v>
      </c>
      <c r="J18" s="3"/>
      <c r="K18" s="6" t="s">
        <v>443</v>
      </c>
      <c r="L18" s="6" t="s">
        <v>444</v>
      </c>
      <c r="M18" s="1" t="s">
        <v>423</v>
      </c>
      <c r="N18" s="6" t="s">
        <v>45</v>
      </c>
      <c r="P18" s="6" t="s">
        <v>445</v>
      </c>
      <c r="Q18" s="6" t="s">
        <v>446</v>
      </c>
      <c r="R18" s="1" t="s">
        <v>447</v>
      </c>
      <c r="S18" s="6" t="s">
        <v>258</v>
      </c>
    </row>
    <row r="19">
      <c r="A19" s="6" t="s">
        <v>448</v>
      </c>
      <c r="B19" s="6" t="s">
        <v>449</v>
      </c>
      <c r="C19" s="1">
        <v>509.0</v>
      </c>
      <c r="D19" s="6" t="s">
        <v>46</v>
      </c>
      <c r="E19" s="3"/>
      <c r="F19" s="6" t="s">
        <v>450</v>
      </c>
      <c r="G19" s="6" t="s">
        <v>451</v>
      </c>
      <c r="H19" s="1" t="s">
        <v>452</v>
      </c>
      <c r="I19" s="6" t="s">
        <v>258</v>
      </c>
      <c r="J19" s="3"/>
      <c r="K19" s="6" t="s">
        <v>453</v>
      </c>
      <c r="L19" s="6" t="s">
        <v>454</v>
      </c>
      <c r="M19" s="1" t="s">
        <v>423</v>
      </c>
      <c r="N19" s="6" t="s">
        <v>45</v>
      </c>
      <c r="P19" s="6" t="s">
        <v>455</v>
      </c>
      <c r="Q19" s="6" t="s">
        <v>456</v>
      </c>
      <c r="R19" s="1" t="s">
        <v>457</v>
      </c>
      <c r="S19" s="6" t="s">
        <v>258</v>
      </c>
    </row>
    <row r="20">
      <c r="A20" s="6" t="s">
        <v>458</v>
      </c>
      <c r="B20" s="6" t="s">
        <v>459</v>
      </c>
      <c r="C20" s="1" t="s">
        <v>460</v>
      </c>
      <c r="D20" s="6" t="s">
        <v>45</v>
      </c>
      <c r="F20" s="6" t="s">
        <v>461</v>
      </c>
      <c r="G20" s="6" t="s">
        <v>462</v>
      </c>
      <c r="H20" s="1" t="s">
        <v>463</v>
      </c>
      <c r="I20" s="6" t="s">
        <v>258</v>
      </c>
      <c r="J20" s="3"/>
      <c r="K20" s="6" t="s">
        <v>464</v>
      </c>
      <c r="L20" s="6" t="s">
        <v>465</v>
      </c>
      <c r="M20" s="1" t="s">
        <v>423</v>
      </c>
      <c r="N20" s="6" t="s">
        <v>45</v>
      </c>
      <c r="P20" s="6" t="s">
        <v>466</v>
      </c>
      <c r="Q20" s="6" t="s">
        <v>467</v>
      </c>
      <c r="R20" s="1" t="s">
        <v>457</v>
      </c>
      <c r="S20" s="6" t="s">
        <v>258</v>
      </c>
    </row>
    <row r="21">
      <c r="A21" s="6" t="s">
        <v>468</v>
      </c>
      <c r="B21" s="6" t="s">
        <v>469</v>
      </c>
      <c r="C21" s="1" t="s">
        <v>470</v>
      </c>
      <c r="D21" s="6" t="s">
        <v>45</v>
      </c>
      <c r="F21" s="6" t="s">
        <v>471</v>
      </c>
      <c r="G21" s="6" t="s">
        <v>472</v>
      </c>
      <c r="H21" s="1">
        <v>402.0</v>
      </c>
      <c r="I21" s="6" t="s">
        <v>45</v>
      </c>
      <c r="K21" s="6" t="s">
        <v>473</v>
      </c>
      <c r="L21" s="6" t="s">
        <v>474</v>
      </c>
      <c r="M21" s="1" t="s">
        <v>423</v>
      </c>
      <c r="N21" s="6" t="s">
        <v>45</v>
      </c>
      <c r="P21" s="6" t="s">
        <v>475</v>
      </c>
      <c r="Q21" s="6" t="s">
        <v>476</v>
      </c>
      <c r="R21" s="1" t="s">
        <v>477</v>
      </c>
      <c r="S21" s="6" t="s">
        <v>258</v>
      </c>
    </row>
    <row r="22">
      <c r="A22" s="6" t="s">
        <v>478</v>
      </c>
      <c r="B22" s="6" t="s">
        <v>479</v>
      </c>
      <c r="C22" s="1">
        <v>309.0</v>
      </c>
      <c r="D22" s="6" t="s">
        <v>258</v>
      </c>
      <c r="E22" s="3"/>
      <c r="F22" s="6" t="s">
        <v>480</v>
      </c>
      <c r="G22" s="6" t="s">
        <v>481</v>
      </c>
      <c r="H22" s="1" t="s">
        <v>482</v>
      </c>
      <c r="I22" s="6" t="s">
        <v>45</v>
      </c>
      <c r="K22" s="6" t="s">
        <v>483</v>
      </c>
      <c r="L22" s="6" t="s">
        <v>484</v>
      </c>
      <c r="M22" s="1" t="s">
        <v>423</v>
      </c>
      <c r="N22" s="6" t="s">
        <v>45</v>
      </c>
      <c r="P22" s="6" t="s">
        <v>485</v>
      </c>
      <c r="Q22" s="6" t="s">
        <v>486</v>
      </c>
      <c r="R22" s="1" t="s">
        <v>487</v>
      </c>
      <c r="S22" s="6" t="s">
        <v>258</v>
      </c>
    </row>
    <row r="23">
      <c r="A23" s="6" t="s">
        <v>488</v>
      </c>
      <c r="B23" s="6" t="s">
        <v>489</v>
      </c>
      <c r="C23" s="1" t="s">
        <v>490</v>
      </c>
      <c r="D23" s="6" t="s">
        <v>45</v>
      </c>
      <c r="F23" s="6" t="s">
        <v>491</v>
      </c>
      <c r="G23" s="6" t="s">
        <v>492</v>
      </c>
      <c r="H23" s="1">
        <v>406.0</v>
      </c>
      <c r="I23" s="6" t="s">
        <v>45</v>
      </c>
      <c r="K23" s="6" t="s">
        <v>493</v>
      </c>
      <c r="L23" s="6" t="s">
        <v>494</v>
      </c>
      <c r="M23" s="1" t="s">
        <v>423</v>
      </c>
      <c r="N23" s="6" t="s">
        <v>45</v>
      </c>
      <c r="P23" s="6" t="s">
        <v>495</v>
      </c>
      <c r="Q23" s="6" t="s">
        <v>496</v>
      </c>
      <c r="R23" s="1" t="s">
        <v>497</v>
      </c>
      <c r="S23" s="6" t="s">
        <v>258</v>
      </c>
    </row>
    <row r="24">
      <c r="A24" s="6" t="s">
        <v>498</v>
      </c>
      <c r="B24" s="6" t="s">
        <v>499</v>
      </c>
      <c r="C24" s="1" t="s">
        <v>500</v>
      </c>
      <c r="D24" s="6" t="s">
        <v>262</v>
      </c>
      <c r="E24" s="3"/>
      <c r="F24" s="6" t="s">
        <v>501</v>
      </c>
      <c r="G24" s="6" t="s">
        <v>502</v>
      </c>
      <c r="H24" s="1" t="s">
        <v>503</v>
      </c>
      <c r="I24" s="6" t="s">
        <v>45</v>
      </c>
      <c r="K24" s="6" t="s">
        <v>504</v>
      </c>
      <c r="L24" s="6" t="s">
        <v>505</v>
      </c>
      <c r="M24" s="1" t="s">
        <v>423</v>
      </c>
      <c r="N24" s="6" t="s">
        <v>45</v>
      </c>
      <c r="P24" s="6" t="s">
        <v>506</v>
      </c>
      <c r="Q24" s="6" t="s">
        <v>507</v>
      </c>
      <c r="R24" s="1">
        <v>377.0</v>
      </c>
      <c r="S24" s="6" t="s">
        <v>258</v>
      </c>
    </row>
    <row r="25">
      <c r="A25" s="6" t="s">
        <v>508</v>
      </c>
      <c r="B25" s="6" t="s">
        <v>509</v>
      </c>
      <c r="C25" s="1" t="s">
        <v>510</v>
      </c>
      <c r="D25" s="6" t="s">
        <v>262</v>
      </c>
      <c r="E25" s="3"/>
      <c r="F25" s="6" t="s">
        <v>511</v>
      </c>
      <c r="G25" s="6" t="s">
        <v>512</v>
      </c>
      <c r="H25" s="1" t="s">
        <v>513</v>
      </c>
      <c r="I25" s="6" t="s">
        <v>262</v>
      </c>
      <c r="J25" s="3"/>
      <c r="K25" s="6" t="s">
        <v>514</v>
      </c>
      <c r="L25" s="6" t="s">
        <v>515</v>
      </c>
      <c r="M25" s="1" t="s">
        <v>423</v>
      </c>
      <c r="N25" s="6" t="s">
        <v>45</v>
      </c>
      <c r="P25" s="6" t="s">
        <v>516</v>
      </c>
      <c r="Q25" s="6" t="s">
        <v>517</v>
      </c>
      <c r="R25" s="1" t="s">
        <v>518</v>
      </c>
      <c r="S25" s="6" t="s">
        <v>258</v>
      </c>
    </row>
    <row r="26">
      <c r="A26" s="6" t="s">
        <v>519</v>
      </c>
      <c r="B26" s="6" t="s">
        <v>520</v>
      </c>
      <c r="C26" s="1" t="s">
        <v>521</v>
      </c>
      <c r="D26" s="6" t="s">
        <v>46</v>
      </c>
      <c r="E26" s="3"/>
      <c r="F26" s="6" t="s">
        <v>522</v>
      </c>
      <c r="G26" s="6" t="s">
        <v>523</v>
      </c>
      <c r="H26" s="1" t="s">
        <v>524</v>
      </c>
      <c r="I26" s="6" t="s">
        <v>45</v>
      </c>
      <c r="K26" s="6" t="s">
        <v>525</v>
      </c>
      <c r="L26" s="6" t="s">
        <v>526</v>
      </c>
      <c r="M26" s="1" t="s">
        <v>527</v>
      </c>
      <c r="N26" s="6" t="s">
        <v>45</v>
      </c>
      <c r="P26" s="6" t="s">
        <v>528</v>
      </c>
      <c r="Q26" s="6" t="s">
        <v>529</v>
      </c>
      <c r="R26" s="1" t="s">
        <v>530</v>
      </c>
      <c r="S26" s="6" t="s">
        <v>45</v>
      </c>
    </row>
    <row r="27">
      <c r="A27" s="6" t="s">
        <v>531</v>
      </c>
      <c r="B27" s="6" t="s">
        <v>532</v>
      </c>
      <c r="C27" s="1" t="s">
        <v>533</v>
      </c>
      <c r="D27" s="6" t="s">
        <v>45</v>
      </c>
      <c r="F27" s="6" t="s">
        <v>534</v>
      </c>
      <c r="G27" s="6" t="s">
        <v>535</v>
      </c>
      <c r="H27" s="1" t="s">
        <v>423</v>
      </c>
      <c r="I27" s="6" t="s">
        <v>45</v>
      </c>
      <c r="K27" s="6" t="s">
        <v>536</v>
      </c>
      <c r="L27" s="6" t="s">
        <v>537</v>
      </c>
      <c r="M27" s="1" t="s">
        <v>538</v>
      </c>
      <c r="N27" s="6" t="s">
        <v>45</v>
      </c>
      <c r="P27" s="6" t="s">
        <v>169</v>
      </c>
      <c r="Q27" s="6" t="s">
        <v>169</v>
      </c>
      <c r="R27" s="1" t="s">
        <v>539</v>
      </c>
      <c r="S27" s="6" t="s">
        <v>169</v>
      </c>
    </row>
    <row r="28">
      <c r="A28" s="6" t="s">
        <v>540</v>
      </c>
      <c r="B28" s="6" t="s">
        <v>541</v>
      </c>
      <c r="C28" s="1" t="s">
        <v>542</v>
      </c>
      <c r="D28" s="6" t="s">
        <v>258</v>
      </c>
      <c r="E28" s="3"/>
      <c r="F28" s="6" t="s">
        <v>543</v>
      </c>
      <c r="G28" s="6" t="s">
        <v>544</v>
      </c>
      <c r="H28" s="1" t="s">
        <v>423</v>
      </c>
      <c r="I28" s="6" t="s">
        <v>45</v>
      </c>
      <c r="K28" s="6" t="s">
        <v>545</v>
      </c>
      <c r="L28" s="6" t="s">
        <v>546</v>
      </c>
      <c r="M28" s="1" t="s">
        <v>547</v>
      </c>
      <c r="N28" s="6" t="s">
        <v>262</v>
      </c>
      <c r="O28" s="3"/>
      <c r="P28" s="6" t="s">
        <v>169</v>
      </c>
      <c r="Q28" s="6" t="s">
        <v>169</v>
      </c>
      <c r="R28" s="6" t="s">
        <v>169</v>
      </c>
      <c r="S28" s="6" t="s">
        <v>169</v>
      </c>
    </row>
    <row r="29">
      <c r="A29" s="6" t="s">
        <v>548</v>
      </c>
      <c r="B29" s="6" t="s">
        <v>549</v>
      </c>
      <c r="C29" s="1">
        <v>298.0</v>
      </c>
      <c r="D29" s="6" t="s">
        <v>258</v>
      </c>
      <c r="E29" s="3"/>
      <c r="F29" s="6" t="s">
        <v>550</v>
      </c>
      <c r="G29" s="6" t="s">
        <v>551</v>
      </c>
      <c r="H29" s="1" t="s">
        <v>423</v>
      </c>
      <c r="I29" s="6" t="s">
        <v>45</v>
      </c>
      <c r="K29" s="6" t="s">
        <v>552</v>
      </c>
      <c r="L29" s="6" t="s">
        <v>553</v>
      </c>
      <c r="M29" s="1" t="s">
        <v>554</v>
      </c>
      <c r="N29" s="6" t="s">
        <v>254</v>
      </c>
      <c r="P29" s="6" t="s">
        <v>169</v>
      </c>
      <c r="Q29" s="6" t="s">
        <v>169</v>
      </c>
      <c r="R29" s="6" t="s">
        <v>169</v>
      </c>
      <c r="S29" s="6" t="s">
        <v>169</v>
      </c>
    </row>
    <row r="30">
      <c r="A30" s="6" t="s">
        <v>555</v>
      </c>
      <c r="B30" s="6" t="s">
        <v>556</v>
      </c>
      <c r="C30" s="1">
        <v>366.0</v>
      </c>
      <c r="D30" s="6" t="s">
        <v>258</v>
      </c>
      <c r="E30" s="3"/>
      <c r="F30" s="6" t="s">
        <v>557</v>
      </c>
      <c r="G30" s="6" t="s">
        <v>558</v>
      </c>
      <c r="H30" s="1" t="s">
        <v>423</v>
      </c>
      <c r="I30" s="6" t="s">
        <v>45</v>
      </c>
      <c r="K30" s="6" t="s">
        <v>559</v>
      </c>
      <c r="L30" s="6" t="s">
        <v>560</v>
      </c>
      <c r="M30" s="1" t="s">
        <v>561</v>
      </c>
      <c r="N30" s="6" t="s">
        <v>46</v>
      </c>
      <c r="O30" s="3"/>
      <c r="P30" s="6" t="s">
        <v>169</v>
      </c>
      <c r="Q30" s="6" t="s">
        <v>169</v>
      </c>
      <c r="R30" s="6" t="s">
        <v>169</v>
      </c>
      <c r="S30" s="6" t="s">
        <v>169</v>
      </c>
    </row>
    <row r="31">
      <c r="A31" s="6" t="s">
        <v>562</v>
      </c>
      <c r="B31" s="6" t="s">
        <v>563</v>
      </c>
      <c r="C31" s="1" t="s">
        <v>564</v>
      </c>
      <c r="D31" s="6" t="s">
        <v>258</v>
      </c>
      <c r="E31" s="3"/>
      <c r="F31" s="6" t="s">
        <v>565</v>
      </c>
      <c r="G31" s="6" t="s">
        <v>566</v>
      </c>
      <c r="H31" s="1" t="s">
        <v>423</v>
      </c>
      <c r="I31" s="6" t="s">
        <v>45</v>
      </c>
      <c r="K31" s="6" t="s">
        <v>567</v>
      </c>
      <c r="L31" s="6" t="s">
        <v>568</v>
      </c>
      <c r="M31" s="1" t="s">
        <v>569</v>
      </c>
      <c r="N31" s="6" t="s">
        <v>258</v>
      </c>
      <c r="O31" s="3"/>
      <c r="P31" s="6" t="s">
        <v>169</v>
      </c>
      <c r="Q31" s="6" t="s">
        <v>169</v>
      </c>
      <c r="R31" s="6" t="s">
        <v>169</v>
      </c>
      <c r="S31" s="6" t="s">
        <v>169</v>
      </c>
    </row>
    <row r="32">
      <c r="A32" s="6" t="s">
        <v>570</v>
      </c>
      <c r="B32" s="6" t="s">
        <v>571</v>
      </c>
      <c r="C32" s="1" t="s">
        <v>572</v>
      </c>
      <c r="D32" s="6" t="s">
        <v>258</v>
      </c>
      <c r="E32" s="3"/>
      <c r="F32" s="6" t="s">
        <v>573</v>
      </c>
      <c r="G32" s="6" t="s">
        <v>574</v>
      </c>
      <c r="H32" s="1" t="s">
        <v>423</v>
      </c>
      <c r="I32" s="6" t="s">
        <v>45</v>
      </c>
      <c r="K32" s="6" t="s">
        <v>575</v>
      </c>
      <c r="L32" s="6" t="s">
        <v>576</v>
      </c>
      <c r="M32" s="1" t="s">
        <v>577</v>
      </c>
      <c r="N32" s="6" t="s">
        <v>258</v>
      </c>
      <c r="O32" s="3"/>
      <c r="P32" s="6" t="s">
        <v>169</v>
      </c>
      <c r="Q32" s="6" t="s">
        <v>169</v>
      </c>
      <c r="R32" s="6" t="s">
        <v>169</v>
      </c>
      <c r="S32" s="6" t="s">
        <v>169</v>
      </c>
    </row>
    <row r="33">
      <c r="A33" s="6" t="s">
        <v>578</v>
      </c>
      <c r="B33" s="6" t="s">
        <v>579</v>
      </c>
      <c r="C33" s="1" t="s">
        <v>580</v>
      </c>
      <c r="D33" s="6" t="s">
        <v>258</v>
      </c>
      <c r="E33" s="3"/>
      <c r="F33" s="6" t="s">
        <v>581</v>
      </c>
      <c r="G33" s="6" t="s">
        <v>582</v>
      </c>
      <c r="H33" s="1" t="s">
        <v>423</v>
      </c>
      <c r="I33" s="6" t="s">
        <v>45</v>
      </c>
      <c r="K33" s="6" t="s">
        <v>583</v>
      </c>
      <c r="L33" s="6" t="s">
        <v>584</v>
      </c>
      <c r="M33" s="1" t="s">
        <v>585</v>
      </c>
      <c r="N33" s="6" t="s">
        <v>45</v>
      </c>
      <c r="P33" s="6" t="s">
        <v>169</v>
      </c>
      <c r="Q33" s="6" t="s">
        <v>169</v>
      </c>
      <c r="R33" s="6" t="s">
        <v>169</v>
      </c>
      <c r="S33" s="6" t="s">
        <v>169</v>
      </c>
    </row>
    <row r="34">
      <c r="A34" s="6" t="s">
        <v>586</v>
      </c>
      <c r="B34" s="6" t="s">
        <v>587</v>
      </c>
      <c r="C34" s="1" t="s">
        <v>588</v>
      </c>
      <c r="D34" s="6" t="s">
        <v>258</v>
      </c>
      <c r="E34" s="3"/>
      <c r="F34" s="6" t="s">
        <v>589</v>
      </c>
      <c r="G34" s="6" t="s">
        <v>590</v>
      </c>
      <c r="H34" s="1" t="s">
        <v>423</v>
      </c>
      <c r="I34" s="6" t="s">
        <v>45</v>
      </c>
      <c r="K34" s="6" t="s">
        <v>591</v>
      </c>
      <c r="L34" s="6" t="s">
        <v>592</v>
      </c>
      <c r="M34" s="1" t="s">
        <v>593</v>
      </c>
      <c r="N34" s="6" t="s">
        <v>45</v>
      </c>
      <c r="P34" s="6" t="s">
        <v>169</v>
      </c>
      <c r="Q34" s="6" t="s">
        <v>169</v>
      </c>
      <c r="R34" s="6" t="s">
        <v>169</v>
      </c>
      <c r="S34" s="6" t="s">
        <v>169</v>
      </c>
    </row>
    <row r="35">
      <c r="A35" s="6" t="s">
        <v>594</v>
      </c>
      <c r="B35" s="6" t="s">
        <v>595</v>
      </c>
      <c r="C35" s="1" t="s">
        <v>596</v>
      </c>
      <c r="D35" s="6" t="s">
        <v>258</v>
      </c>
      <c r="E35" s="3"/>
      <c r="F35" s="6" t="s">
        <v>597</v>
      </c>
      <c r="G35" s="6" t="s">
        <v>598</v>
      </c>
      <c r="H35" s="1" t="s">
        <v>423</v>
      </c>
      <c r="I35" s="6" t="s">
        <v>45</v>
      </c>
      <c r="K35" s="6" t="s">
        <v>599</v>
      </c>
      <c r="L35" s="6" t="s">
        <v>600</v>
      </c>
      <c r="M35" s="1" t="s">
        <v>601</v>
      </c>
      <c r="N35" s="6" t="s">
        <v>46</v>
      </c>
      <c r="O35" s="3"/>
      <c r="P35" s="6" t="s">
        <v>169</v>
      </c>
      <c r="Q35" s="6" t="s">
        <v>169</v>
      </c>
      <c r="R35" s="6" t="s">
        <v>169</v>
      </c>
      <c r="S35" s="6" t="s">
        <v>169</v>
      </c>
    </row>
    <row r="36">
      <c r="A36" s="6" t="s">
        <v>602</v>
      </c>
      <c r="B36" s="6" t="s">
        <v>603</v>
      </c>
      <c r="C36" s="1" t="s">
        <v>604</v>
      </c>
      <c r="D36" s="6" t="s">
        <v>258</v>
      </c>
      <c r="E36" s="3"/>
      <c r="F36" s="6" t="s">
        <v>605</v>
      </c>
      <c r="G36" s="6" t="s">
        <v>606</v>
      </c>
      <c r="H36" s="1" t="s">
        <v>423</v>
      </c>
      <c r="I36" s="6" t="s">
        <v>45</v>
      </c>
      <c r="K36" s="6" t="s">
        <v>607</v>
      </c>
      <c r="L36" s="6" t="s">
        <v>608</v>
      </c>
      <c r="M36" s="1">
        <v>420.0</v>
      </c>
      <c r="N36" s="6" t="s">
        <v>45</v>
      </c>
      <c r="P36" s="6" t="s">
        <v>169</v>
      </c>
      <c r="Q36" s="6" t="s">
        <v>169</v>
      </c>
      <c r="R36" s="6" t="s">
        <v>169</v>
      </c>
      <c r="S36" s="6" t="s">
        <v>169</v>
      </c>
    </row>
    <row r="37">
      <c r="A37" s="6" t="s">
        <v>609</v>
      </c>
      <c r="B37" s="6" t="s">
        <v>610</v>
      </c>
      <c r="C37" s="1" t="s">
        <v>611</v>
      </c>
      <c r="D37" s="6" t="s">
        <v>258</v>
      </c>
      <c r="E37" s="3"/>
      <c r="F37" s="6" t="s">
        <v>612</v>
      </c>
      <c r="G37" s="6" t="s">
        <v>613</v>
      </c>
      <c r="H37" s="1" t="s">
        <v>614</v>
      </c>
      <c r="I37" s="6" t="s">
        <v>45</v>
      </c>
      <c r="K37" s="6" t="s">
        <v>615</v>
      </c>
      <c r="L37" s="6" t="s">
        <v>616</v>
      </c>
      <c r="M37" s="1">
        <v>420.0</v>
      </c>
      <c r="N37" s="6" t="s">
        <v>45</v>
      </c>
      <c r="P37" s="6" t="s">
        <v>169</v>
      </c>
      <c r="Q37" s="6" t="s">
        <v>169</v>
      </c>
      <c r="R37" s="6" t="s">
        <v>169</v>
      </c>
      <c r="S37" s="6" t="s">
        <v>169</v>
      </c>
    </row>
    <row r="38">
      <c r="A38" s="6" t="s">
        <v>617</v>
      </c>
      <c r="B38" s="6" t="s">
        <v>618</v>
      </c>
      <c r="C38" s="1">
        <v>293.0</v>
      </c>
      <c r="D38" s="6" t="s">
        <v>258</v>
      </c>
      <c r="E38" s="3"/>
      <c r="F38" s="6" t="s">
        <v>619</v>
      </c>
      <c r="G38" s="6" t="s">
        <v>620</v>
      </c>
      <c r="H38" s="1" t="s">
        <v>621</v>
      </c>
      <c r="I38" s="6" t="s">
        <v>46</v>
      </c>
      <c r="J38" s="3"/>
      <c r="K38" s="6" t="s">
        <v>622</v>
      </c>
      <c r="L38" s="6" t="s">
        <v>623</v>
      </c>
      <c r="M38" s="1">
        <v>420.0</v>
      </c>
      <c r="N38" s="6" t="s">
        <v>45</v>
      </c>
      <c r="P38" s="6" t="s">
        <v>169</v>
      </c>
      <c r="Q38" s="6" t="s">
        <v>169</v>
      </c>
      <c r="R38" s="6" t="s">
        <v>169</v>
      </c>
      <c r="S38" s="6" t="s">
        <v>169</v>
      </c>
    </row>
    <row r="39">
      <c r="A39" s="6" t="s">
        <v>624</v>
      </c>
      <c r="B39" s="6" t="s">
        <v>625</v>
      </c>
      <c r="C39" s="1" t="s">
        <v>626</v>
      </c>
      <c r="D39" s="6" t="s">
        <v>258</v>
      </c>
      <c r="E39" s="3"/>
      <c r="F39" s="6" t="s">
        <v>627</v>
      </c>
      <c r="G39" s="6" t="s">
        <v>628</v>
      </c>
      <c r="H39" s="1" t="s">
        <v>629</v>
      </c>
      <c r="I39" s="6" t="s">
        <v>262</v>
      </c>
      <c r="J39" s="3"/>
      <c r="K39" s="6" t="s">
        <v>630</v>
      </c>
      <c r="L39" s="6" t="s">
        <v>631</v>
      </c>
      <c r="M39" s="1">
        <v>420.0</v>
      </c>
      <c r="N39" s="6" t="s">
        <v>45</v>
      </c>
      <c r="P39" s="6" t="s">
        <v>169</v>
      </c>
      <c r="Q39" s="6" t="s">
        <v>169</v>
      </c>
      <c r="R39" s="6" t="s">
        <v>169</v>
      </c>
      <c r="S39" s="6" t="s">
        <v>169</v>
      </c>
    </row>
    <row r="40">
      <c r="A40" s="6" t="s">
        <v>632</v>
      </c>
      <c r="B40" s="6" t="s">
        <v>633</v>
      </c>
      <c r="C40" s="1" t="s">
        <v>634</v>
      </c>
      <c r="D40" s="6" t="s">
        <v>45</v>
      </c>
      <c r="F40" s="6" t="s">
        <v>635</v>
      </c>
      <c r="G40" s="6" t="s">
        <v>636</v>
      </c>
      <c r="H40" s="1" t="s">
        <v>637</v>
      </c>
      <c r="I40" s="6" t="s">
        <v>45</v>
      </c>
      <c r="K40" s="6" t="s">
        <v>638</v>
      </c>
      <c r="L40" s="6" t="s">
        <v>639</v>
      </c>
      <c r="M40" s="1">
        <v>420.0</v>
      </c>
      <c r="N40" s="6" t="s">
        <v>45</v>
      </c>
      <c r="P40" s="6" t="s">
        <v>169</v>
      </c>
      <c r="Q40" s="6" t="s">
        <v>169</v>
      </c>
      <c r="R40" s="6" t="s">
        <v>169</v>
      </c>
      <c r="S40" s="6" t="s">
        <v>169</v>
      </c>
    </row>
    <row r="41">
      <c r="A41" s="6" t="s">
        <v>640</v>
      </c>
      <c r="B41" s="6" t="s">
        <v>641</v>
      </c>
      <c r="C41" s="1">
        <v>441.0</v>
      </c>
      <c r="D41" s="6" t="s">
        <v>45</v>
      </c>
      <c r="F41" s="6" t="s">
        <v>642</v>
      </c>
      <c r="G41" s="6" t="s">
        <v>643</v>
      </c>
      <c r="H41" s="1" t="s">
        <v>644</v>
      </c>
      <c r="I41" s="6" t="s">
        <v>45</v>
      </c>
      <c r="K41" s="6" t="s">
        <v>645</v>
      </c>
      <c r="L41" s="6" t="s">
        <v>646</v>
      </c>
      <c r="M41" s="1">
        <v>420.0</v>
      </c>
      <c r="N41" s="6" t="s">
        <v>45</v>
      </c>
      <c r="P41" s="6" t="s">
        <v>169</v>
      </c>
      <c r="Q41" s="6" t="s">
        <v>169</v>
      </c>
      <c r="R41" s="6" t="s">
        <v>169</v>
      </c>
      <c r="S41" s="6" t="s">
        <v>169</v>
      </c>
    </row>
    <row r="42">
      <c r="A42" s="6" t="s">
        <v>647</v>
      </c>
      <c r="B42" s="6" t="s">
        <v>648</v>
      </c>
      <c r="C42" s="1" t="s">
        <v>649</v>
      </c>
      <c r="D42" s="6" t="s">
        <v>45</v>
      </c>
      <c r="F42" s="6" t="s">
        <v>650</v>
      </c>
      <c r="G42" s="6" t="s">
        <v>651</v>
      </c>
      <c r="H42" s="1">
        <v>474.0</v>
      </c>
      <c r="I42" s="6" t="s">
        <v>45</v>
      </c>
      <c r="K42" s="6" t="s">
        <v>652</v>
      </c>
      <c r="L42" s="6" t="s">
        <v>653</v>
      </c>
      <c r="M42" s="1">
        <v>420.0</v>
      </c>
      <c r="N42" s="6" t="s">
        <v>45</v>
      </c>
      <c r="P42" s="6" t="s">
        <v>169</v>
      </c>
      <c r="Q42" s="6" t="s">
        <v>169</v>
      </c>
      <c r="R42" s="6" t="s">
        <v>169</v>
      </c>
      <c r="S42" s="6" t="s">
        <v>169</v>
      </c>
    </row>
    <row r="43">
      <c r="A43" s="6" t="s">
        <v>654</v>
      </c>
      <c r="B43" s="6" t="s">
        <v>655</v>
      </c>
      <c r="C43" s="1" t="s">
        <v>656</v>
      </c>
      <c r="D43" s="6" t="s">
        <v>258</v>
      </c>
      <c r="E43" s="3"/>
      <c r="F43" s="6" t="s">
        <v>657</v>
      </c>
      <c r="G43" s="6" t="s">
        <v>658</v>
      </c>
      <c r="H43" s="1" t="s">
        <v>659</v>
      </c>
      <c r="I43" s="6" t="s">
        <v>45</v>
      </c>
      <c r="K43" s="6" t="s">
        <v>660</v>
      </c>
      <c r="L43" s="6" t="s">
        <v>661</v>
      </c>
      <c r="M43" s="1" t="s">
        <v>662</v>
      </c>
      <c r="N43" s="6" t="s">
        <v>45</v>
      </c>
      <c r="P43" s="6" t="s">
        <v>169</v>
      </c>
      <c r="Q43" s="6" t="s">
        <v>169</v>
      </c>
      <c r="R43" s="6" t="s">
        <v>169</v>
      </c>
      <c r="S43" s="6" t="s">
        <v>169</v>
      </c>
    </row>
    <row r="44">
      <c r="A44" s="6" t="s">
        <v>663</v>
      </c>
      <c r="B44" s="6" t="s">
        <v>664</v>
      </c>
      <c r="C44" s="1" t="s">
        <v>665</v>
      </c>
      <c r="D44" s="6" t="s">
        <v>45</v>
      </c>
      <c r="F44" s="6" t="s">
        <v>666</v>
      </c>
      <c r="G44" s="6" t="s">
        <v>667</v>
      </c>
      <c r="H44" s="1">
        <v>474.0</v>
      </c>
      <c r="I44" s="6" t="s">
        <v>45</v>
      </c>
      <c r="K44" s="6" t="s">
        <v>668</v>
      </c>
      <c r="L44" s="6" t="s">
        <v>669</v>
      </c>
      <c r="M44" s="1" t="s">
        <v>670</v>
      </c>
      <c r="N44" s="6" t="s">
        <v>258</v>
      </c>
      <c r="O44" s="3"/>
      <c r="P44" s="6" t="s">
        <v>169</v>
      </c>
      <c r="Q44" s="6" t="s">
        <v>169</v>
      </c>
      <c r="R44" s="6" t="s">
        <v>169</v>
      </c>
      <c r="S44" s="6" t="s">
        <v>169</v>
      </c>
    </row>
    <row r="45">
      <c r="A45" s="6" t="s">
        <v>671</v>
      </c>
      <c r="B45" s="6" t="s">
        <v>672</v>
      </c>
      <c r="C45" s="1" t="s">
        <v>673</v>
      </c>
      <c r="D45" s="6" t="s">
        <v>45</v>
      </c>
      <c r="F45" s="6" t="s">
        <v>674</v>
      </c>
      <c r="G45" s="6" t="s">
        <v>675</v>
      </c>
      <c r="H45" s="1" t="s">
        <v>676</v>
      </c>
      <c r="I45" s="6" t="s">
        <v>262</v>
      </c>
      <c r="J45" s="3"/>
      <c r="K45" s="6" t="s">
        <v>677</v>
      </c>
      <c r="L45" s="6" t="s">
        <v>678</v>
      </c>
      <c r="M45" s="1">
        <v>436.0</v>
      </c>
      <c r="N45" s="6" t="s">
        <v>45</v>
      </c>
      <c r="P45" s="6" t="s">
        <v>169</v>
      </c>
      <c r="Q45" s="6" t="s">
        <v>169</v>
      </c>
      <c r="R45" s="6" t="s">
        <v>169</v>
      </c>
      <c r="S45" s="6" t="s">
        <v>169</v>
      </c>
    </row>
    <row r="46">
      <c r="A46" s="6" t="s">
        <v>679</v>
      </c>
      <c r="B46" s="6" t="s">
        <v>680</v>
      </c>
      <c r="C46" s="1" t="s">
        <v>681</v>
      </c>
      <c r="D46" s="6" t="s">
        <v>45</v>
      </c>
      <c r="F46" s="6" t="s">
        <v>682</v>
      </c>
      <c r="G46" s="6" t="s">
        <v>683</v>
      </c>
      <c r="H46" s="1">
        <v>413.0</v>
      </c>
      <c r="I46" s="6" t="s">
        <v>45</v>
      </c>
      <c r="K46" s="6" t="s">
        <v>684</v>
      </c>
      <c r="L46" s="6" t="s">
        <v>685</v>
      </c>
      <c r="M46" s="1" t="s">
        <v>518</v>
      </c>
      <c r="N46" s="6" t="s">
        <v>258</v>
      </c>
      <c r="O46" s="3"/>
      <c r="P46" s="6" t="s">
        <v>169</v>
      </c>
      <c r="Q46" s="6" t="s">
        <v>169</v>
      </c>
      <c r="R46" s="6" t="s">
        <v>169</v>
      </c>
      <c r="S46" s="6" t="s">
        <v>169</v>
      </c>
    </row>
    <row r="47">
      <c r="A47" s="6" t="s">
        <v>686</v>
      </c>
      <c r="B47" s="6" t="s">
        <v>687</v>
      </c>
      <c r="C47" s="1" t="s">
        <v>688</v>
      </c>
      <c r="D47" s="6" t="s">
        <v>254</v>
      </c>
      <c r="F47" s="6" t="s">
        <v>689</v>
      </c>
      <c r="G47" s="6" t="s">
        <v>690</v>
      </c>
      <c r="H47" s="1" t="s">
        <v>691</v>
      </c>
      <c r="I47" s="6" t="s">
        <v>45</v>
      </c>
      <c r="K47" s="6" t="s">
        <v>692</v>
      </c>
      <c r="L47" s="6" t="s">
        <v>693</v>
      </c>
      <c r="M47" s="1" t="s">
        <v>694</v>
      </c>
      <c r="N47" s="6" t="s">
        <v>258</v>
      </c>
      <c r="O47" s="3"/>
      <c r="P47" s="6" t="s">
        <v>169</v>
      </c>
      <c r="Q47" s="6" t="s">
        <v>169</v>
      </c>
      <c r="R47" s="6" t="s">
        <v>169</v>
      </c>
      <c r="S47" s="6" t="s">
        <v>169</v>
      </c>
    </row>
    <row r="48">
      <c r="A48" s="6" t="s">
        <v>695</v>
      </c>
      <c r="B48" s="6" t="s">
        <v>696</v>
      </c>
      <c r="C48" s="1" t="s">
        <v>697</v>
      </c>
      <c r="D48" s="6" t="s">
        <v>254</v>
      </c>
      <c r="F48" s="6" t="s">
        <v>698</v>
      </c>
      <c r="G48" s="6" t="s">
        <v>699</v>
      </c>
      <c r="H48" s="1" t="s">
        <v>700</v>
      </c>
      <c r="I48" s="6" t="s">
        <v>45</v>
      </c>
      <c r="K48" s="6" t="s">
        <v>701</v>
      </c>
      <c r="L48" s="6" t="s">
        <v>702</v>
      </c>
      <c r="M48" s="1" t="s">
        <v>703</v>
      </c>
      <c r="N48" s="6" t="s">
        <v>258</v>
      </c>
      <c r="O48" s="3"/>
      <c r="P48" s="6" t="s">
        <v>169</v>
      </c>
      <c r="Q48" s="6" t="s">
        <v>169</v>
      </c>
      <c r="R48" s="6" t="s">
        <v>169</v>
      </c>
      <c r="S48" s="6" t="s">
        <v>169</v>
      </c>
    </row>
    <row r="49">
      <c r="A49" s="6" t="s">
        <v>704</v>
      </c>
      <c r="B49" s="6" t="s">
        <v>705</v>
      </c>
      <c r="C49" s="1" t="s">
        <v>706</v>
      </c>
      <c r="D49" s="6" t="s">
        <v>254</v>
      </c>
      <c r="F49" s="6" t="s">
        <v>707</v>
      </c>
      <c r="G49" s="6" t="s">
        <v>708</v>
      </c>
      <c r="H49" s="1" t="s">
        <v>709</v>
      </c>
      <c r="I49" s="6" t="s">
        <v>45</v>
      </c>
      <c r="K49" s="6" t="s">
        <v>710</v>
      </c>
      <c r="L49" s="6" t="s">
        <v>711</v>
      </c>
      <c r="M49" s="1">
        <v>522.0</v>
      </c>
      <c r="N49" s="6" t="s">
        <v>46</v>
      </c>
      <c r="O49" s="3"/>
      <c r="P49" s="6" t="s">
        <v>169</v>
      </c>
      <c r="Q49" s="6" t="s">
        <v>169</v>
      </c>
      <c r="R49" s="6" t="s">
        <v>169</v>
      </c>
      <c r="S49" s="6" t="s">
        <v>169</v>
      </c>
    </row>
    <row r="50">
      <c r="A50" s="6" t="s">
        <v>712</v>
      </c>
      <c r="B50" s="6" t="s">
        <v>713</v>
      </c>
      <c r="C50" s="1" t="s">
        <v>714</v>
      </c>
      <c r="D50" s="6" t="s">
        <v>262</v>
      </c>
      <c r="E50" s="3"/>
      <c r="F50" s="6" t="s">
        <v>715</v>
      </c>
      <c r="G50" s="6" t="s">
        <v>716</v>
      </c>
      <c r="H50" s="1" t="s">
        <v>717</v>
      </c>
      <c r="I50" s="6" t="s">
        <v>45</v>
      </c>
      <c r="K50" s="6" t="s">
        <v>169</v>
      </c>
      <c r="L50" s="6" t="s">
        <v>169</v>
      </c>
      <c r="M50" s="1" t="s">
        <v>718</v>
      </c>
      <c r="N50" s="6" t="s">
        <v>169</v>
      </c>
      <c r="O50" s="3"/>
      <c r="P50" s="6" t="s">
        <v>169</v>
      </c>
      <c r="Q50" s="6" t="s">
        <v>169</v>
      </c>
      <c r="R50" s="6" t="s">
        <v>169</v>
      </c>
      <c r="S50" s="6" t="s">
        <v>169</v>
      </c>
    </row>
    <row r="51">
      <c r="A51" s="6" t="s">
        <v>169</v>
      </c>
      <c r="B51" s="6" t="s">
        <v>169</v>
      </c>
      <c r="C51" s="1" t="s">
        <v>719</v>
      </c>
      <c r="D51" s="6" t="s">
        <v>169</v>
      </c>
      <c r="E51" s="3"/>
      <c r="F51" s="6" t="s">
        <v>720</v>
      </c>
      <c r="G51" s="6" t="s">
        <v>721</v>
      </c>
      <c r="H51" s="1" t="s">
        <v>722</v>
      </c>
      <c r="I51" s="6" t="s">
        <v>45</v>
      </c>
      <c r="K51" s="6" t="s">
        <v>169</v>
      </c>
      <c r="L51" s="6" t="s">
        <v>169</v>
      </c>
      <c r="M51" s="6" t="s">
        <v>169</v>
      </c>
      <c r="N51" s="6" t="s">
        <v>169</v>
      </c>
      <c r="O51" s="3"/>
      <c r="P51" s="6" t="s">
        <v>169</v>
      </c>
      <c r="Q51" s="6" t="s">
        <v>169</v>
      </c>
      <c r="R51" s="6" t="s">
        <v>169</v>
      </c>
      <c r="S51" s="6" t="s">
        <v>169</v>
      </c>
    </row>
    <row r="52">
      <c r="A52" s="3"/>
      <c r="B52" s="3"/>
      <c r="C52" s="3"/>
      <c r="D52" s="3"/>
      <c r="E52" s="3"/>
      <c r="F52" s="3"/>
      <c r="G52" s="3"/>
      <c r="H52" s="1" t="s">
        <v>723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6" t="s">
        <v>38</v>
      </c>
      <c r="B55" s="6" t="s">
        <v>19</v>
      </c>
      <c r="C55" s="6" t="s">
        <v>57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6" t="s">
        <v>262</v>
      </c>
      <c r="B56" s="6" t="s">
        <v>724</v>
      </c>
      <c r="C56" s="1">
        <v>14.0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6" t="s">
        <v>46</v>
      </c>
      <c r="B57" s="1">
        <v>120.0</v>
      </c>
      <c r="C57" s="1">
        <v>29.0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6" t="s">
        <v>45</v>
      </c>
      <c r="B58" s="1">
        <v>90.0</v>
      </c>
      <c r="C58" s="1">
        <v>75.0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6" t="s">
        <v>258</v>
      </c>
      <c r="B59" s="1">
        <v>60.0</v>
      </c>
      <c r="C59" s="1">
        <v>44.0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6" t="s">
        <v>254</v>
      </c>
      <c r="B60" s="6" t="s">
        <v>725</v>
      </c>
      <c r="C60" s="1">
        <v>10.0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51" t="s">
        <v>726</v>
      </c>
      <c r="B64" s="51" t="s">
        <v>727</v>
      </c>
      <c r="C64" s="52" t="s">
        <v>728</v>
      </c>
      <c r="G64" s="52" t="s">
        <v>729</v>
      </c>
      <c r="J64" s="52" t="s">
        <v>730</v>
      </c>
      <c r="M64" s="3"/>
      <c r="N64" s="3"/>
      <c r="O64" s="3"/>
      <c r="P64" s="3"/>
      <c r="Q64" s="3"/>
      <c r="R64" s="3"/>
      <c r="S64" s="3"/>
    </row>
    <row r="65">
      <c r="A65" s="51" t="s">
        <v>731</v>
      </c>
      <c r="B65" s="51" t="s">
        <v>732</v>
      </c>
      <c r="C65" s="52" t="s">
        <v>733</v>
      </c>
      <c r="G65" s="52" t="s">
        <v>734</v>
      </c>
      <c r="J65" s="52" t="s">
        <v>735</v>
      </c>
      <c r="M65" s="3"/>
      <c r="N65" s="3"/>
      <c r="O65" s="3"/>
      <c r="P65" s="3"/>
      <c r="Q65" s="3"/>
      <c r="R65" s="3"/>
      <c r="S65" s="3"/>
    </row>
    <row r="66">
      <c r="A66" s="51" t="s">
        <v>736</v>
      </c>
      <c r="B66" s="51" t="s">
        <v>737</v>
      </c>
      <c r="C66" s="52" t="s">
        <v>738</v>
      </c>
      <c r="G66" s="52" t="s">
        <v>739</v>
      </c>
      <c r="J66" s="52" t="s">
        <v>740</v>
      </c>
      <c r="M66" s="3"/>
      <c r="N66" s="3"/>
      <c r="O66" s="3"/>
      <c r="P66" s="3"/>
      <c r="Q66" s="3"/>
      <c r="R66" s="3"/>
      <c r="S66" s="3"/>
    </row>
    <row r="67">
      <c r="A67" s="51" t="s">
        <v>741</v>
      </c>
      <c r="B67" s="51" t="s">
        <v>742</v>
      </c>
      <c r="C67" s="52" t="s">
        <v>743</v>
      </c>
      <c r="G67" s="52" t="s">
        <v>744</v>
      </c>
      <c r="J67" s="52" t="s">
        <v>745</v>
      </c>
      <c r="M67" s="3"/>
      <c r="N67" s="3"/>
      <c r="O67" s="3"/>
      <c r="P67" s="3"/>
      <c r="Q67" s="3"/>
      <c r="R67" s="3"/>
      <c r="S67" s="3"/>
    </row>
    <row r="68">
      <c r="A68" s="51" t="s">
        <v>746</v>
      </c>
      <c r="B68" s="51" t="s">
        <v>747</v>
      </c>
      <c r="C68" s="52" t="s">
        <v>748</v>
      </c>
      <c r="G68" s="52" t="s">
        <v>749</v>
      </c>
      <c r="J68" s="52" t="s">
        <v>750</v>
      </c>
      <c r="M68" s="3"/>
      <c r="N68" s="3"/>
      <c r="O68" s="3"/>
      <c r="P68" s="3"/>
      <c r="Q68" s="3"/>
      <c r="R68" s="3"/>
      <c r="S68" s="3"/>
    </row>
    <row r="69">
      <c r="A69" s="51" t="s">
        <v>751</v>
      </c>
      <c r="B69" s="51" t="s">
        <v>752</v>
      </c>
      <c r="C69" s="52" t="s">
        <v>753</v>
      </c>
      <c r="G69" s="52" t="s">
        <v>754</v>
      </c>
      <c r="J69" s="52" t="s">
        <v>755</v>
      </c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mergeCells count="97">
    <mergeCell ref="N38:O38"/>
    <mergeCell ref="N39:O39"/>
    <mergeCell ref="N42:O42"/>
    <mergeCell ref="N43:O43"/>
    <mergeCell ref="N45:O45"/>
    <mergeCell ref="N26:O26"/>
    <mergeCell ref="N27:O27"/>
    <mergeCell ref="N29:O29"/>
    <mergeCell ref="N33:O33"/>
    <mergeCell ref="N34:O34"/>
    <mergeCell ref="N36:O36"/>
    <mergeCell ref="N37:O37"/>
    <mergeCell ref="I41:J41"/>
    <mergeCell ref="I42:J42"/>
    <mergeCell ref="I43:J43"/>
    <mergeCell ref="I35:J35"/>
    <mergeCell ref="I36:J36"/>
    <mergeCell ref="I37:J37"/>
    <mergeCell ref="D40:E40"/>
    <mergeCell ref="I40:J40"/>
    <mergeCell ref="D41:E41"/>
    <mergeCell ref="D42:E42"/>
    <mergeCell ref="I47:J47"/>
    <mergeCell ref="I48:J48"/>
    <mergeCell ref="I50:J50"/>
    <mergeCell ref="I51:J51"/>
    <mergeCell ref="D44:E44"/>
    <mergeCell ref="I44:J44"/>
    <mergeCell ref="D45:E45"/>
    <mergeCell ref="D46:E46"/>
    <mergeCell ref="I46:J46"/>
    <mergeCell ref="D47:E47"/>
    <mergeCell ref="D48:E48"/>
    <mergeCell ref="D49:E49"/>
    <mergeCell ref="I49:J49"/>
    <mergeCell ref="C64:F64"/>
    <mergeCell ref="G64:I64"/>
    <mergeCell ref="J64:L64"/>
    <mergeCell ref="G65:I65"/>
    <mergeCell ref="J65:L65"/>
    <mergeCell ref="C68:F68"/>
    <mergeCell ref="G68:I68"/>
    <mergeCell ref="J68:L68"/>
    <mergeCell ref="C69:F69"/>
    <mergeCell ref="G69:I69"/>
    <mergeCell ref="J69:L69"/>
    <mergeCell ref="C65:F65"/>
    <mergeCell ref="C66:F66"/>
    <mergeCell ref="G66:I66"/>
    <mergeCell ref="J66:L66"/>
    <mergeCell ref="C67:F67"/>
    <mergeCell ref="G67:I67"/>
    <mergeCell ref="J67:L67"/>
    <mergeCell ref="D2:E2"/>
    <mergeCell ref="I3:J3"/>
    <mergeCell ref="D7:E7"/>
    <mergeCell ref="N7:O7"/>
    <mergeCell ref="D8:E8"/>
    <mergeCell ref="N8:O8"/>
    <mergeCell ref="D9:E9"/>
    <mergeCell ref="D11:E11"/>
    <mergeCell ref="I12:J12"/>
    <mergeCell ref="N12:O12"/>
    <mergeCell ref="D13:E13"/>
    <mergeCell ref="N13:O13"/>
    <mergeCell ref="D14:E14"/>
    <mergeCell ref="D15:E15"/>
    <mergeCell ref="N16:O16"/>
    <mergeCell ref="N17:O17"/>
    <mergeCell ref="D18:E18"/>
    <mergeCell ref="N18:O18"/>
    <mergeCell ref="N19:O19"/>
    <mergeCell ref="D20:E20"/>
    <mergeCell ref="N20:O20"/>
    <mergeCell ref="D21:E21"/>
    <mergeCell ref="I21:J21"/>
    <mergeCell ref="N21:O21"/>
    <mergeCell ref="I22:J22"/>
    <mergeCell ref="N22:O22"/>
    <mergeCell ref="D23:E23"/>
    <mergeCell ref="N23:O23"/>
    <mergeCell ref="I23:J23"/>
    <mergeCell ref="I24:J24"/>
    <mergeCell ref="N24:O24"/>
    <mergeCell ref="N25:O25"/>
    <mergeCell ref="I26:J26"/>
    <mergeCell ref="D27:E27"/>
    <mergeCell ref="I27:J27"/>
    <mergeCell ref="I28:J28"/>
    <mergeCell ref="I29:J29"/>
    <mergeCell ref="I30:J30"/>
    <mergeCell ref="I31:J31"/>
    <mergeCell ref="I32:J32"/>
    <mergeCell ref="I33:J33"/>
    <mergeCell ref="I34:J34"/>
    <mergeCell ref="N40:O40"/>
    <mergeCell ref="N41:O4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53" t="s">
        <v>756</v>
      </c>
      <c r="B2" s="24" t="s">
        <v>757</v>
      </c>
      <c r="E2" s="6" t="s">
        <v>79</v>
      </c>
      <c r="F2" s="44" t="s">
        <v>758</v>
      </c>
      <c r="G2" s="6" t="s">
        <v>27</v>
      </c>
      <c r="H2" s="3"/>
      <c r="I2" s="3"/>
      <c r="J2" s="3"/>
      <c r="K2" s="6" t="s">
        <v>19</v>
      </c>
      <c r="L2" s="6" t="s">
        <v>759</v>
      </c>
      <c r="M2" s="6" t="s">
        <v>79</v>
      </c>
      <c r="N2" s="6" t="s">
        <v>27</v>
      </c>
    </row>
    <row r="3">
      <c r="B3" s="4" t="s">
        <v>19</v>
      </c>
      <c r="C3" s="1" t="s">
        <v>719</v>
      </c>
      <c r="D3" s="3"/>
      <c r="E3" s="6" t="s">
        <v>760</v>
      </c>
      <c r="F3" s="3"/>
      <c r="G3" s="6" t="s">
        <v>761</v>
      </c>
      <c r="H3" s="3"/>
      <c r="I3" s="6" t="s">
        <v>762</v>
      </c>
      <c r="J3" s="1">
        <v>172.0</v>
      </c>
      <c r="K3" s="1">
        <v>17030.0</v>
      </c>
      <c r="L3" s="1">
        <v>81.819</v>
      </c>
      <c r="M3" s="3"/>
      <c r="N3" s="6" t="s">
        <v>763</v>
      </c>
    </row>
    <row r="4">
      <c r="A4" s="6" t="s">
        <v>764</v>
      </c>
      <c r="B4" s="6" t="s">
        <v>57</v>
      </c>
      <c r="C4" s="1">
        <v>49.0</v>
      </c>
      <c r="D4" s="3"/>
      <c r="E4" s="3"/>
      <c r="F4" s="3"/>
      <c r="G4" s="3"/>
      <c r="H4" s="3"/>
      <c r="I4" s="29" t="s">
        <v>49</v>
      </c>
      <c r="J4" s="1">
        <v>75.0</v>
      </c>
      <c r="K4" s="1">
        <v>35.0</v>
      </c>
      <c r="L4" s="1">
        <v>2.625</v>
      </c>
      <c r="M4" s="1">
        <v>1850.0</v>
      </c>
      <c r="N4" s="6" t="s">
        <v>765</v>
      </c>
    </row>
    <row r="5">
      <c r="A5" s="8" t="s">
        <v>44</v>
      </c>
      <c r="B5" s="3"/>
      <c r="C5" s="1">
        <v>15.0</v>
      </c>
      <c r="D5" s="6" t="s">
        <v>766</v>
      </c>
      <c r="E5" s="6" t="s">
        <v>767</v>
      </c>
      <c r="F5" s="3"/>
      <c r="G5" s="6" t="s">
        <v>768</v>
      </c>
      <c r="H5" s="3"/>
      <c r="I5" s="29" t="s">
        <v>50</v>
      </c>
      <c r="J5" s="1">
        <v>25.0</v>
      </c>
      <c r="K5" s="1">
        <v>50.0</v>
      </c>
      <c r="L5" s="1">
        <v>1.25</v>
      </c>
      <c r="M5" s="1">
        <v>1850.0</v>
      </c>
      <c r="N5" s="6" t="s">
        <v>769</v>
      </c>
    </row>
    <row r="6">
      <c r="A6" s="8" t="s">
        <v>45</v>
      </c>
      <c r="B6" s="3"/>
      <c r="C6" s="1">
        <v>15.0</v>
      </c>
      <c r="D6" s="6" t="s">
        <v>770</v>
      </c>
      <c r="E6" s="6" t="s">
        <v>767</v>
      </c>
      <c r="F6" s="3"/>
      <c r="G6" s="6" t="s">
        <v>771</v>
      </c>
      <c r="H6" s="3"/>
      <c r="I6" s="54"/>
      <c r="J6" s="3"/>
      <c r="K6" s="3"/>
      <c r="L6" s="3"/>
      <c r="M6" s="3"/>
      <c r="N6" s="6" t="s">
        <v>772</v>
      </c>
    </row>
    <row r="7">
      <c r="A7" s="8" t="s">
        <v>46</v>
      </c>
      <c r="B7" s="3"/>
      <c r="C7" s="1">
        <v>7.0</v>
      </c>
      <c r="D7" s="6" t="s">
        <v>773</v>
      </c>
      <c r="E7" s="6" t="s">
        <v>767</v>
      </c>
      <c r="F7" s="3"/>
      <c r="G7" s="6" t="s">
        <v>774</v>
      </c>
      <c r="H7" s="3"/>
      <c r="I7" s="3"/>
      <c r="J7" s="3"/>
      <c r="K7" s="3"/>
      <c r="L7" s="3"/>
      <c r="M7" s="3"/>
      <c r="N7" s="3"/>
    </row>
    <row r="8">
      <c r="A8" s="8" t="s">
        <v>47</v>
      </c>
      <c r="B8" s="3"/>
      <c r="C8" s="1">
        <v>6.0</v>
      </c>
      <c r="D8" s="6" t="s">
        <v>775</v>
      </c>
      <c r="E8" s="6" t="s">
        <v>767</v>
      </c>
      <c r="F8" s="3"/>
      <c r="G8" s="6" t="s">
        <v>776</v>
      </c>
      <c r="H8" s="3"/>
      <c r="I8" s="3"/>
      <c r="J8" s="3"/>
      <c r="K8" s="3"/>
      <c r="L8" s="3"/>
      <c r="M8" s="3"/>
      <c r="N8" s="3"/>
    </row>
    <row r="9">
      <c r="A9" s="8" t="s">
        <v>48</v>
      </c>
      <c r="B9" s="3"/>
      <c r="C9" s="1">
        <v>6.0</v>
      </c>
      <c r="D9" s="6" t="s">
        <v>777</v>
      </c>
      <c r="E9" s="6" t="s">
        <v>767</v>
      </c>
      <c r="F9" s="3"/>
      <c r="G9" s="6" t="s">
        <v>778</v>
      </c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6" t="s">
        <v>779</v>
      </c>
      <c r="E10" s="3"/>
      <c r="F10" s="3"/>
      <c r="G10" s="6" t="s">
        <v>780</v>
      </c>
      <c r="H10" s="3"/>
      <c r="I10" s="15" t="s">
        <v>24</v>
      </c>
      <c r="J10" s="6" t="s">
        <v>25</v>
      </c>
      <c r="K10" s="6" t="s">
        <v>26</v>
      </c>
      <c r="L10" s="6" t="s">
        <v>27</v>
      </c>
      <c r="M10" s="3"/>
      <c r="N10" s="3"/>
    </row>
    <row r="11">
      <c r="A11" s="3"/>
      <c r="B11" s="3"/>
      <c r="C11" s="3"/>
      <c r="D11" s="3"/>
      <c r="E11" s="3"/>
      <c r="F11" s="3"/>
      <c r="G11" s="3"/>
      <c r="H11" s="1">
        <v>1.0</v>
      </c>
      <c r="I11" s="6" t="s">
        <v>28</v>
      </c>
      <c r="J11" s="1">
        <v>150000.0</v>
      </c>
      <c r="K11" s="1">
        <v>35.0</v>
      </c>
      <c r="L11" s="6" t="s">
        <v>781</v>
      </c>
      <c r="M11" s="3"/>
      <c r="N11" s="3"/>
    </row>
    <row r="12">
      <c r="A12" s="3"/>
      <c r="B12" s="3"/>
      <c r="C12" s="3"/>
      <c r="D12" s="3"/>
      <c r="E12" s="3"/>
      <c r="F12" s="3"/>
      <c r="G12" s="3"/>
      <c r="H12" s="1">
        <v>2.0</v>
      </c>
      <c r="I12" s="6" t="s">
        <v>29</v>
      </c>
      <c r="J12" s="1">
        <v>150000.0</v>
      </c>
      <c r="K12" s="1">
        <v>5.0</v>
      </c>
      <c r="L12" s="6" t="s">
        <v>782</v>
      </c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8" t="s">
        <v>30</v>
      </c>
      <c r="J13" s="3"/>
      <c r="K13" s="3"/>
      <c r="L13" s="3"/>
      <c r="M13" s="3"/>
      <c r="N13" s="3"/>
    </row>
    <row r="14">
      <c r="A14" s="6" t="s">
        <v>783</v>
      </c>
      <c r="B14" s="6" t="s">
        <v>19</v>
      </c>
      <c r="C14" s="1" t="s">
        <v>723</v>
      </c>
      <c r="D14" s="3"/>
      <c r="E14" s="6" t="s">
        <v>784</v>
      </c>
      <c r="F14" s="3"/>
      <c r="G14" s="6" t="s">
        <v>785</v>
      </c>
      <c r="H14" s="1">
        <v>1.0</v>
      </c>
      <c r="I14" s="6" t="s">
        <v>31</v>
      </c>
      <c r="J14" s="1">
        <v>16550.0</v>
      </c>
      <c r="K14" s="1">
        <v>1200.0</v>
      </c>
      <c r="L14" s="6" t="s">
        <v>786</v>
      </c>
      <c r="M14" s="3"/>
      <c r="N14" s="3"/>
    </row>
    <row r="15">
      <c r="A15" s="6" t="s">
        <v>764</v>
      </c>
      <c r="B15" s="6" t="s">
        <v>57</v>
      </c>
      <c r="C15" s="1">
        <v>50.0</v>
      </c>
      <c r="D15" s="3"/>
      <c r="E15" s="3"/>
      <c r="F15" s="3"/>
      <c r="G15" s="3"/>
      <c r="H15" s="1">
        <v>2.0</v>
      </c>
      <c r="I15" s="6" t="s">
        <v>32</v>
      </c>
      <c r="J15" s="1">
        <v>3375.0</v>
      </c>
      <c r="K15" s="1">
        <v>1100.0</v>
      </c>
      <c r="L15" s="6" t="s">
        <v>787</v>
      </c>
      <c r="M15" s="3"/>
      <c r="N15" s="3"/>
    </row>
    <row r="16">
      <c r="A16" s="8" t="s">
        <v>44</v>
      </c>
      <c r="B16" s="3"/>
      <c r="C16" s="1">
        <v>6.0</v>
      </c>
      <c r="D16" s="6" t="s">
        <v>788</v>
      </c>
      <c r="E16" s="6" t="s">
        <v>789</v>
      </c>
      <c r="F16" s="3"/>
      <c r="G16" s="6" t="s">
        <v>790</v>
      </c>
      <c r="H16" s="1">
        <v>3.0</v>
      </c>
      <c r="I16" s="6" t="s">
        <v>33</v>
      </c>
      <c r="J16" s="1">
        <v>3000.0</v>
      </c>
      <c r="K16" s="1">
        <v>800.0</v>
      </c>
      <c r="L16" s="6" t="s">
        <v>791</v>
      </c>
      <c r="M16" s="3"/>
      <c r="N16" s="3"/>
    </row>
    <row r="17">
      <c r="A17" s="9"/>
      <c r="B17" s="3"/>
      <c r="C17" s="3"/>
      <c r="D17" s="3"/>
      <c r="E17" s="3"/>
      <c r="F17" s="3"/>
      <c r="G17" s="3"/>
      <c r="H17" s="3"/>
      <c r="I17" s="4" t="s">
        <v>34</v>
      </c>
      <c r="J17" s="3"/>
      <c r="K17" s="3"/>
      <c r="L17" s="3"/>
      <c r="M17" s="3"/>
      <c r="N17" s="3"/>
    </row>
    <row r="18">
      <c r="A18" s="8" t="s">
        <v>45</v>
      </c>
      <c r="B18" s="3"/>
      <c r="C18" s="1">
        <v>29.0</v>
      </c>
      <c r="D18" s="6" t="s">
        <v>792</v>
      </c>
      <c r="E18" s="6" t="s">
        <v>789</v>
      </c>
      <c r="F18" s="3"/>
      <c r="G18" s="6" t="s">
        <v>793</v>
      </c>
      <c r="H18" s="1">
        <v>1.0</v>
      </c>
      <c r="I18" s="6" t="s">
        <v>35</v>
      </c>
      <c r="J18" s="1">
        <v>150000.0</v>
      </c>
      <c r="K18" s="1">
        <v>5.0</v>
      </c>
      <c r="L18" s="6" t="s">
        <v>782</v>
      </c>
      <c r="M18" s="3"/>
      <c r="N18" s="3"/>
    </row>
    <row r="19">
      <c r="A19" s="8" t="s">
        <v>46</v>
      </c>
      <c r="B19" s="3"/>
      <c r="C19" s="1">
        <v>9.0</v>
      </c>
      <c r="D19" s="6" t="s">
        <v>794</v>
      </c>
      <c r="E19" s="6" t="s">
        <v>789</v>
      </c>
      <c r="F19" s="3"/>
      <c r="G19" s="6" t="s">
        <v>795</v>
      </c>
      <c r="H19" s="1">
        <v>2.0</v>
      </c>
      <c r="I19" s="6" t="s">
        <v>36</v>
      </c>
      <c r="J19" s="3"/>
      <c r="K19" s="25">
        <v>0.05</v>
      </c>
      <c r="L19" s="6" t="s">
        <v>796</v>
      </c>
      <c r="M19" s="3"/>
      <c r="N19" s="3"/>
    </row>
    <row r="20">
      <c r="A20" s="8" t="s">
        <v>47</v>
      </c>
      <c r="B20" s="3"/>
      <c r="C20" s="3"/>
      <c r="D20" s="3"/>
      <c r="E20" s="3"/>
      <c r="F20" s="3"/>
      <c r="G20" s="6" t="s">
        <v>797</v>
      </c>
      <c r="H20" s="1">
        <v>3.0</v>
      </c>
      <c r="I20" s="6" t="s">
        <v>37</v>
      </c>
      <c r="J20" s="3"/>
      <c r="K20" s="3"/>
      <c r="L20" s="6" t="s">
        <v>798</v>
      </c>
      <c r="M20" s="3"/>
      <c r="N20" s="3"/>
    </row>
    <row r="21">
      <c r="A21" s="8" t="s">
        <v>48</v>
      </c>
      <c r="B21" s="3"/>
      <c r="C21" s="1">
        <v>6.0</v>
      </c>
      <c r="D21" s="6" t="s">
        <v>777</v>
      </c>
      <c r="E21" s="6" t="s">
        <v>789</v>
      </c>
      <c r="F21" s="3"/>
      <c r="G21" s="6" t="s">
        <v>791</v>
      </c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6" t="s">
        <v>799</v>
      </c>
      <c r="E22" s="3"/>
      <c r="F22" s="3"/>
      <c r="G22" s="6" t="s">
        <v>800</v>
      </c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1">
        <v>1.0</v>
      </c>
      <c r="I23" s="8" t="s">
        <v>5</v>
      </c>
      <c r="J23" s="9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1">
        <v>2.0</v>
      </c>
      <c r="I24" s="6" t="s">
        <v>6</v>
      </c>
      <c r="J24" s="10"/>
      <c r="K24" s="11" t="s">
        <v>772</v>
      </c>
      <c r="L24" s="3"/>
      <c r="M24" s="3"/>
      <c r="N24" s="3"/>
    </row>
    <row r="25">
      <c r="A25" s="6" t="s">
        <v>801</v>
      </c>
      <c r="B25" s="6" t="s">
        <v>19</v>
      </c>
      <c r="C25" s="1" t="s">
        <v>718</v>
      </c>
      <c r="D25" s="3"/>
      <c r="E25" s="6" t="s">
        <v>802</v>
      </c>
      <c r="F25" s="3"/>
      <c r="G25" s="6" t="s">
        <v>803</v>
      </c>
      <c r="H25" s="1">
        <v>3.0</v>
      </c>
      <c r="I25" s="6" t="s">
        <v>7</v>
      </c>
      <c r="J25" s="10"/>
      <c r="K25" s="12" t="s">
        <v>804</v>
      </c>
      <c r="L25" s="3"/>
      <c r="M25" s="3"/>
      <c r="N25" s="3"/>
    </row>
    <row r="26">
      <c r="A26" s="6" t="s">
        <v>764</v>
      </c>
      <c r="B26" s="6" t="s">
        <v>57</v>
      </c>
      <c r="C26" s="1">
        <v>48.0</v>
      </c>
      <c r="D26" s="3"/>
      <c r="E26" s="3"/>
      <c r="F26" s="3"/>
      <c r="G26" s="3"/>
      <c r="H26" s="1">
        <v>4.0</v>
      </c>
      <c r="I26" s="6" t="s">
        <v>805</v>
      </c>
      <c r="J26" s="10"/>
      <c r="K26" s="13" t="s">
        <v>806</v>
      </c>
      <c r="L26" s="3"/>
      <c r="M26" s="3"/>
      <c r="N26" s="3"/>
    </row>
    <row r="27">
      <c r="A27" s="8" t="s">
        <v>44</v>
      </c>
      <c r="B27" s="3"/>
      <c r="C27" s="1">
        <v>9.0</v>
      </c>
      <c r="D27" s="6" t="s">
        <v>807</v>
      </c>
      <c r="E27" s="6" t="s">
        <v>808</v>
      </c>
      <c r="F27" s="3"/>
      <c r="G27" s="6" t="s">
        <v>809</v>
      </c>
      <c r="H27" s="1">
        <v>6.0</v>
      </c>
      <c r="I27" s="6" t="s">
        <v>10</v>
      </c>
      <c r="J27" s="10"/>
      <c r="K27" s="55" t="s">
        <v>810</v>
      </c>
      <c r="L27" s="3"/>
      <c r="M27" s="3"/>
      <c r="N27" s="3"/>
    </row>
    <row r="28">
      <c r="A28" s="8" t="s">
        <v>45</v>
      </c>
      <c r="B28" s="3"/>
      <c r="C28" s="1">
        <v>27.0</v>
      </c>
      <c r="D28" s="6" t="s">
        <v>811</v>
      </c>
      <c r="E28" s="6" t="s">
        <v>808</v>
      </c>
      <c r="F28" s="3"/>
      <c r="G28" s="6" t="s">
        <v>812</v>
      </c>
      <c r="H28" s="3"/>
      <c r="I28" s="3"/>
      <c r="J28" s="3"/>
      <c r="K28" s="3"/>
      <c r="L28" s="3"/>
      <c r="M28" s="3"/>
      <c r="N28" s="3"/>
    </row>
    <row r="29">
      <c r="A29" s="8" t="s">
        <v>46</v>
      </c>
      <c r="B29" s="3"/>
      <c r="C29" s="1">
        <v>9.0</v>
      </c>
      <c r="D29" s="6" t="s">
        <v>794</v>
      </c>
      <c r="E29" s="6" t="s">
        <v>808</v>
      </c>
      <c r="F29" s="3"/>
      <c r="G29" s="6" t="s">
        <v>813</v>
      </c>
      <c r="H29" s="3"/>
      <c r="I29" s="3"/>
      <c r="J29" s="3"/>
      <c r="K29" s="3"/>
      <c r="L29" s="3"/>
      <c r="M29" s="3"/>
      <c r="N29" s="3"/>
    </row>
    <row r="30">
      <c r="A30" s="8" t="s">
        <v>47</v>
      </c>
      <c r="B30" s="3"/>
      <c r="C30" s="1">
        <v>1.0</v>
      </c>
      <c r="D30" s="6" t="s">
        <v>814</v>
      </c>
      <c r="E30" s="6" t="s">
        <v>808</v>
      </c>
      <c r="F30" s="3"/>
      <c r="G30" s="6" t="s">
        <v>815</v>
      </c>
      <c r="H30" s="3"/>
      <c r="I30" s="3"/>
      <c r="J30" s="3"/>
      <c r="K30" s="3"/>
      <c r="L30" s="3"/>
      <c r="M30" s="3"/>
      <c r="N30" s="3"/>
    </row>
    <row r="31">
      <c r="A31" s="8" t="s">
        <v>48</v>
      </c>
      <c r="B31" s="3"/>
      <c r="C31" s="1">
        <v>2.0</v>
      </c>
      <c r="D31" s="6" t="s">
        <v>816</v>
      </c>
      <c r="E31" s="6" t="s">
        <v>808</v>
      </c>
      <c r="F31" s="3"/>
      <c r="G31" s="6" t="s">
        <v>817</v>
      </c>
      <c r="H31" s="3"/>
      <c r="I31" s="3"/>
      <c r="J31" s="3"/>
      <c r="K31" s="3"/>
      <c r="L31" s="3"/>
      <c r="M31" s="3"/>
      <c r="N31" s="3"/>
    </row>
    <row r="32">
      <c r="A32" s="3"/>
      <c r="B32" s="3"/>
      <c r="C32" s="3"/>
      <c r="D32" s="6" t="s">
        <v>818</v>
      </c>
      <c r="E32" s="3"/>
      <c r="F32" s="3"/>
      <c r="G32" s="6" t="s">
        <v>819</v>
      </c>
      <c r="H32" s="3"/>
      <c r="I32" s="3"/>
      <c r="J32" s="3"/>
      <c r="K32" s="3"/>
      <c r="L32" s="3"/>
      <c r="M32" s="3"/>
      <c r="N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6" t="s">
        <v>820</v>
      </c>
      <c r="B35" s="6" t="s">
        <v>19</v>
      </c>
      <c r="C35" s="1" t="s">
        <v>539</v>
      </c>
      <c r="D35" s="3"/>
      <c r="E35" s="6" t="s">
        <v>821</v>
      </c>
      <c r="F35" s="3"/>
      <c r="G35" s="6" t="s">
        <v>822</v>
      </c>
      <c r="H35" s="3"/>
      <c r="I35" s="3"/>
      <c r="J35" s="3"/>
      <c r="K35" s="3"/>
      <c r="L35" s="3"/>
      <c r="M35" s="3"/>
      <c r="N35" s="3"/>
    </row>
    <row r="36">
      <c r="A36" s="6" t="s">
        <v>764</v>
      </c>
      <c r="B36" s="6" t="s">
        <v>57</v>
      </c>
      <c r="C36" s="1">
        <v>25.0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8" t="s">
        <v>44</v>
      </c>
      <c r="B37" s="3"/>
      <c r="C37" s="1">
        <v>14.0</v>
      </c>
      <c r="D37" s="6" t="s">
        <v>773</v>
      </c>
      <c r="E37" s="6" t="s">
        <v>808</v>
      </c>
      <c r="F37" s="3"/>
      <c r="G37" s="6" t="s">
        <v>823</v>
      </c>
      <c r="H37" s="3"/>
      <c r="I37" s="3"/>
      <c r="J37" s="3"/>
      <c r="K37" s="3"/>
      <c r="L37" s="3"/>
      <c r="M37" s="3"/>
      <c r="N37" s="3"/>
    </row>
    <row r="38">
      <c r="A38" s="8" t="s">
        <v>45</v>
      </c>
      <c r="B38" s="3"/>
      <c r="C38" s="1">
        <v>4.0</v>
      </c>
      <c r="D38" s="6" t="s">
        <v>788</v>
      </c>
      <c r="E38" s="6" t="s">
        <v>808</v>
      </c>
      <c r="F38" s="3"/>
      <c r="G38" s="6" t="s">
        <v>824</v>
      </c>
      <c r="H38" s="3"/>
      <c r="I38" s="3"/>
      <c r="J38" s="3"/>
      <c r="K38" s="3"/>
      <c r="L38" s="3"/>
      <c r="M38" s="3"/>
      <c r="N38" s="3"/>
    </row>
    <row r="39">
      <c r="A39" s="8" t="s">
        <v>46</v>
      </c>
      <c r="B39" s="3"/>
      <c r="C39" s="1">
        <v>5.0</v>
      </c>
      <c r="D39" s="6" t="s">
        <v>825</v>
      </c>
      <c r="E39" s="6" t="s">
        <v>808</v>
      </c>
      <c r="F39" s="3"/>
      <c r="G39" s="6" t="s">
        <v>826</v>
      </c>
      <c r="H39" s="3"/>
      <c r="I39" s="3"/>
      <c r="J39" s="3"/>
      <c r="K39" s="3"/>
      <c r="L39" s="3"/>
      <c r="M39" s="3"/>
      <c r="N39" s="3"/>
    </row>
    <row r="40">
      <c r="A40" s="8" t="s">
        <v>47</v>
      </c>
      <c r="B40" s="3"/>
      <c r="C40" s="1">
        <v>0.0</v>
      </c>
      <c r="D40" s="3"/>
      <c r="E40" s="3"/>
      <c r="F40" s="3"/>
      <c r="G40" s="6" t="s">
        <v>797</v>
      </c>
      <c r="H40" s="3"/>
      <c r="I40" s="3"/>
      <c r="J40" s="3"/>
      <c r="K40" s="3"/>
      <c r="L40" s="3"/>
      <c r="M40" s="3"/>
      <c r="N40" s="3"/>
    </row>
    <row r="41">
      <c r="A41" s="8" t="s">
        <v>48</v>
      </c>
      <c r="B41" s="3"/>
      <c r="C41" s="1">
        <v>2.0</v>
      </c>
      <c r="D41" s="6" t="s">
        <v>816</v>
      </c>
      <c r="E41" s="6" t="s">
        <v>808</v>
      </c>
      <c r="F41" s="3"/>
      <c r="G41" s="6" t="s">
        <v>817</v>
      </c>
      <c r="H41" s="3"/>
      <c r="I41" s="3"/>
      <c r="J41" s="3"/>
      <c r="K41" s="3"/>
      <c r="L41" s="3"/>
      <c r="M41" s="3"/>
      <c r="N41" s="3"/>
    </row>
    <row r="42">
      <c r="A42" s="3"/>
      <c r="B42" s="3"/>
      <c r="C42" s="3"/>
      <c r="D42" s="6" t="s">
        <v>767</v>
      </c>
      <c r="E42" s="3"/>
      <c r="F42" s="3"/>
      <c r="G42" s="6" t="s">
        <v>827</v>
      </c>
      <c r="H42" s="3"/>
      <c r="I42" s="3"/>
      <c r="J42" s="3"/>
      <c r="K42" s="3"/>
      <c r="L42" s="3"/>
      <c r="M42" s="3"/>
      <c r="N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</sheetData>
  <mergeCells count="2">
    <mergeCell ref="A2:A3"/>
    <mergeCell ref="B2:D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